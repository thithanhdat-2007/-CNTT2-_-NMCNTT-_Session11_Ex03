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de8064a09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_Hang" sheetId="1" r:id="R2e51bb4d76d54f78"/>
    <x:sheet xmlns:r="http://schemas.openxmlformats.org/officeDocument/2006/relationships" name="Danh_Muc" sheetId="2" r:id="Rf601ae31fff9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C"/>
      </x:patternFill>
    </x:fill>
    <x:fill>
      <x:patternFill patternType="solid">
        <x:fgColor rgb="FFF0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3885eceae41bc" /><Relationship Type="http://schemas.openxmlformats.org/officeDocument/2006/relationships/theme" Target="/xl/theme/theme1.xml" Id="R39ce956147b3400d" /><Relationship Type="http://schemas.openxmlformats.org/officeDocument/2006/relationships/sharedStrings" Target="/xl/sharedStrings.xml" Id="R8bc59ca8cf154eb3" /><Relationship Type="http://schemas.openxmlformats.org/officeDocument/2006/relationships/worksheet" Target="/xl/worksheets/sheet1.xml" Id="R2e51bb4d76d54f78" /><Relationship Type="http://schemas.openxmlformats.org/officeDocument/2006/relationships/worksheet" Target="/xl/worksheets/sheet2.xml" Id="Rf601ae31fff9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24" hidden="0" customWidth="1"/>
    <x:col min="5" max="5" width="55" hidden="0" customWidth="1"/>
  </x:cols>
  <x:sheetData>
    <x:row r="1" ht="22" customHeight="1">
      <x:c r="A1" s="4" t="str">
        <x:v>Mã linh kiện</x:v>
      </x:c>
      <x:c r="B1" s="4" t="str">
        <x:v>Tên linh kiện</x:v>
      </x:c>
      <x:c r="C1" s="4" t="str">
        <x:v>Đơn giá (VNĐ)</x:v>
      </x:c>
      <x:c r="D1" s="1"/>
      <x:c r="E1" t="str">
        <x:v>100 đơn hàng minh họa</x:v>
      </x:c>
    </x:row>
    <x:row r="2" ht="22" customHeight="1">
      <x:c r="A2" s="6" t="str">
        <x:v>LK01</x:v>
      </x:c>
      <x:c r="B2" s="6" t="str">
        <x:f>IFERROR(VLOOKUP(TRIM(A2),Danh_Muc!$A$2:$C$101,2,FALSE),"Không tìm thấy mã")</x:f>
        <x:v>Cảm biến nhiệt độ V1</x:v>
      </x:c>
      <x:c r="C2" s="7" t="n">
        <x:f>IFERROR(VLOOKUP(TRIM(A2),Danh_Muc!$A$2:$C$101,3,FALSE),"Không tìm thấy mã")</x:f>
        <x:v>35000</x:v>
      </x:c>
      <x:c r="D2" s="1"/>
      <x:c r="E2" t="str">
        <x:v>Nhập mã ở cột A; cột B và C tự tra cứu.</x:v>
      </x:c>
    </x:row>
    <x:row r="3" ht="22" customHeight="1">
      <x:c r="A3" s="1" t="str">
        <x:v>LK38</x:v>
      </x:c>
      <x:c r="B3" s="6" t="str">
        <x:f>IFERROR(VLOOKUP(TRIM(A3),Danh_Muc!$A$2:$C$101,2,FALSE),"Không tìm thấy mã")</x:f>
        <x:v>Cảm biến ánh sáng V4</x:v>
      </x:c>
      <x:c r="C3" s="7" t="n">
        <x:f>IFERROR(VLOOKUP(TRIM(A3),Danh_Muc!$A$2:$C$101,3,FALSE),"Không tìm thấy mã")</x:f>
        <x:v>38500</x:v>
      </x:c>
      <x:c r="D3" s="1"/>
    </x:row>
    <x:row r="4" ht="22" customHeight="1">
      <x:c r="A4" s="6" t="str">
        <x:v>LK75</x:v>
      </x:c>
      <x:c r="B4" s="6" t="str">
        <x:f>IFERROR(VLOOKUP(TRIM(A4),Danh_Muc!$A$2:$C$101,2,FALSE),"Không tìm thấy mã")</x:f>
        <x:v>Động cơ servo V8</x:v>
      </x:c>
      <x:c r="C4" s="7" t="n">
        <x:f>IFERROR(VLOOKUP(TRIM(A4),Danh_Muc!$A$2:$C$101,3,FALSE),"Không tìm thấy mã")</x:f>
        <x:v>102500</x:v>
      </x:c>
      <x:c r="D4" s="1"/>
    </x:row>
    <x:row r="5" ht="22" customHeight="1">
      <x:c r="A5" s="1" t="str">
        <x:v>LK12</x:v>
      </x:c>
      <x:c r="B5" s="6" t="str">
        <x:f>IFERROR(VLOOKUP(TRIM(A5),Danh_Muc!$A$2:$C$101,2,FALSE),"Không tìm thấy mã")</x:f>
        <x:v>Cảm biến độ ẩm V2</x:v>
      </x:c>
      <x:c r="C5" s="7" t="n">
        <x:f>IFERROR(VLOOKUP(TRIM(A5),Danh_Muc!$A$2:$C$101,3,FALSE),"Không tìm thấy mã")</x:f>
        <x:v>51500</x:v>
      </x:c>
      <x:c r="D5" s="1"/>
    </x:row>
    <x:row r="6" ht="22" customHeight="1">
      <x:c r="A6" s="6" t="str">
        <x:v>LK49</x:v>
      </x:c>
      <x:c r="B6" s="6" t="str">
        <x:f>IFERROR(VLOOKUP(TRIM(A6),Danh_Muc!$A$2:$C$101,2,FALSE),"Không tìm thấy mã")</x:f>
        <x:v>Bơm mini V5</x:v>
      </x:c>
      <x:c r="C6" s="7" t="n">
        <x:f>IFERROR(VLOOKUP(TRIM(A6),Danh_Muc!$A$2:$C$101,3,FALSE),"Không tìm thấy mã")</x:f>
        <x:v>129000</x:v>
      </x:c>
      <x:c r="D6" s="1"/>
    </x:row>
    <x:row r="7" ht="22" customHeight="1">
      <x:c r="A7" s="1" t="str">
        <x:v>LK86</x:v>
      </x:c>
      <x:c r="B7" s="6" t="str">
        <x:f>IFERROR(VLOOKUP(TRIM(A7),Danh_Muc!$A$2:$C$101,2,FALSE),"Không tìm thấy mã")</x:f>
        <x:v>Màn hình LCD V9</x:v>
      </x:c>
      <x:c r="C7" s="7" t="n">
        <x:f>IFERROR(VLOOKUP(TRIM(A7),Danh_Muc!$A$2:$C$101,3,FALSE),"Không tìm thấy mã")</x:f>
        <x:v>123000</x:v>
      </x:c>
      <x:c r="D7" s="1"/>
    </x:row>
    <x:row r="8" ht="22" customHeight="1">
      <x:c r="A8" s="6" t="str">
        <x:v>LK23</x:v>
      </x:c>
      <x:c r="B8" s="6" t="str">
        <x:f>IFERROR(VLOOKUP(TRIM(A8),Danh_Muc!$A$2:$C$101,2,FALSE),"Không tìm thấy mã")</x:f>
        <x:v>Module relay V3</x:v>
      </x:c>
      <x:c r="C8" s="7" t="n">
        <x:f>IFERROR(VLOOKUP(TRIM(A8),Danh_Muc!$A$2:$C$101,3,FALSE),"Không tìm thấy mã")</x:f>
        <x:v>29000</x:v>
      </x:c>
      <x:c r="D8" s="1"/>
    </x:row>
    <x:row r="9" ht="22" customHeight="1">
      <x:c r="A9" s="1" t="str">
        <x:v>LK60</x:v>
      </x:c>
      <x:c r="B9" s="6" t="str">
        <x:f>IFERROR(VLOOKUP(TRIM(A9),Danh_Muc!$A$2:$C$101,2,FALSE),"Không tìm thấy mã")</x:f>
        <x:v>Dây kết nối V6</x:v>
      </x:c>
      <x:c r="C9" s="7" t="n">
        <x:f>IFERROR(VLOOKUP(TRIM(A9),Danh_Muc!$A$2:$C$101,3,FALSE),"Không tìm thấy mã")</x:f>
        <x:v>35500</x:v>
      </x:c>
      <x:c r="D9" s="1"/>
    </x:row>
    <x:row r="10" ht="22" customHeight="1">
      <x:c r="A10" s="6" t="str">
        <x:v>LK97</x:v>
      </x:c>
      <x:c r="B10" s="6" t="str">
        <x:f>IFERROR(VLOOKUP(TRIM(A10),Danh_Muc!$A$2:$C$101,2,FALSE),"Không tìm thấy mã")</x:f>
        <x:v>Module WiFi V10</x:v>
      </x:c>
      <x:c r="C10" s="7" t="n">
        <x:f>IFERROR(VLOOKUP(TRIM(A10),Danh_Muc!$A$2:$C$101,3,FALSE),"Không tìm thấy mã")</x:f>
        <x:v>156500</x:v>
      </x:c>
      <x:c r="D10" s="1"/>
    </x:row>
    <x:row r="11" ht="22" customHeight="1">
      <x:c r="A11" s="1" t="str">
        <x:v>LK34</x:v>
      </x:c>
      <x:c r="B11" s="6" t="str">
        <x:f>IFERROR(VLOOKUP(TRIM(A11),Danh_Muc!$A$2:$C$101,2,FALSE),"Không tìm thấy mã")</x:f>
        <x:v>Mạch nguồn V4</x:v>
      </x:c>
      <x:c r="C11" s="7" t="n">
        <x:f>IFERROR(VLOOKUP(TRIM(A11),Danh_Muc!$A$2:$C$101,3,FALSE),"Không tìm thấy mã")</x:f>
        <x:v>75500</x:v>
      </x:c>
      <x:c r="D11" s="1"/>
    </x:row>
    <x:row r="12" ht="22" customHeight="1">
      <x:c r="A12" s="6" t="str">
        <x:v>LK71</x:v>
      </x:c>
      <x:c r="B12" s="6" t="str">
        <x:f>IFERROR(VLOOKUP(TRIM(A12),Danh_Muc!$A$2:$C$101,2,FALSE),"Không tìm thấy mã")</x:f>
        <x:v>Cảm biến nhiệt độ V8</x:v>
      </x:c>
      <x:c r="C12" s="7" t="n">
        <x:f>IFERROR(VLOOKUP(TRIM(A12),Danh_Muc!$A$2:$C$101,3,FALSE),"Không tìm thấy mã")</x:f>
        <x:v>59500</x:v>
      </x:c>
      <x:c r="D12" s="1"/>
    </x:row>
    <x:row r="13" ht="22" customHeight="1">
      <x:c r="A13" s="1" t="str">
        <x:v>LK08</x:v>
      </x:c>
      <x:c r="B13" s="6" t="str">
        <x:f>IFERROR(VLOOKUP(TRIM(A13),Danh_Muc!$A$2:$C$101,2,FALSE),"Không tìm thấy mã")</x:f>
        <x:v>Cảm biến ánh sáng V1</x:v>
      </x:c>
      <x:c r="C13" s="7" t="n">
        <x:f>IFERROR(VLOOKUP(TRIM(A13),Danh_Muc!$A$2:$C$101,3,FALSE),"Không tìm thấy mã")</x:f>
        <x:v>28000</x:v>
      </x:c>
      <x:c r="D13" s="1"/>
    </x:row>
    <x:row r="14" ht="22" customHeight="1">
      <x:c r="A14" s="6" t="str">
        <x:v>LK45</x:v>
      </x:c>
      <x:c r="B14" s="6" t="str">
        <x:f>IFERROR(VLOOKUP(TRIM(A14),Danh_Muc!$A$2:$C$101,2,FALSE),"Không tìm thấy mã")</x:f>
        <x:v>Động cơ servo V5</x:v>
      </x:c>
      <x:c r="C14" s="7" t="n">
        <x:f>IFERROR(VLOOKUP(TRIM(A14),Danh_Muc!$A$2:$C$101,3,FALSE),"Không tìm thấy mã")</x:f>
        <x:v>92000</x:v>
      </x:c>
      <x:c r="D14" s="1"/>
    </x:row>
    <x:row r="15" ht="22" customHeight="1">
      <x:c r="A15" s="1" t="str">
        <x:v>LK82</x:v>
      </x:c>
      <x:c r="B15" s="6" t="str">
        <x:f>IFERROR(VLOOKUP(TRIM(A15),Danh_Muc!$A$2:$C$101,2,FALSE),"Không tìm thấy mã")</x:f>
        <x:v>Cảm biến độ ẩm V9</x:v>
      </x:c>
      <x:c r="C15" s="7" t="n">
        <x:f>IFERROR(VLOOKUP(TRIM(A15),Danh_Muc!$A$2:$C$101,3,FALSE),"Không tìm thấy mã")</x:f>
        <x:v>76000</x:v>
      </x:c>
      <x:c r="D15" s="1"/>
    </x:row>
    <x:row r="16" ht="22" customHeight="1">
      <x:c r="A16" s="6" t="str">
        <x:v>LK19</x:v>
      </x:c>
      <x:c r="B16" s="6" t="str">
        <x:f>IFERROR(VLOOKUP(TRIM(A16),Danh_Muc!$A$2:$C$101,2,FALSE),"Không tìm thấy mã")</x:f>
        <x:v>Bơm mini V2</x:v>
      </x:c>
      <x:c r="C16" s="7" t="n">
        <x:f>IFERROR(VLOOKUP(TRIM(A16),Danh_Muc!$A$2:$C$101,3,FALSE),"Không tìm thấy mã")</x:f>
        <x:v>118500</x:v>
      </x:c>
      <x:c r="D16" s="1"/>
    </x:row>
    <x:row r="17" ht="22" customHeight="1">
      <x:c r="A17" s="1" t="str">
        <x:v>LK56</x:v>
      </x:c>
      <x:c r="B17" s="6" t="str">
        <x:f>IFERROR(VLOOKUP(TRIM(A17),Danh_Muc!$A$2:$C$101,2,FALSE),"Không tìm thấy mã")</x:f>
        <x:v>Màn hình LCD V6</x:v>
      </x:c>
      <x:c r="C17" s="7" t="n">
        <x:f>IFERROR(VLOOKUP(TRIM(A17),Danh_Muc!$A$2:$C$101,3,FALSE),"Không tìm thấy mã")</x:f>
        <x:v>112500</x:v>
      </x:c>
      <x:c r="D17" s="1"/>
    </x:row>
    <x:row r="18" ht="22" customHeight="1">
      <x:c r="A18" s="6" t="str">
        <x:v>LK93</x:v>
      </x:c>
      <x:c r="B18" s="6" t="str">
        <x:f>IFERROR(VLOOKUP(TRIM(A18),Danh_Muc!$A$2:$C$101,2,FALSE),"Không tìm thấy mã")</x:f>
        <x:v>Module relay V10</x:v>
      </x:c>
      <x:c r="C18" s="7" t="n">
        <x:f>IFERROR(VLOOKUP(TRIM(A18),Danh_Muc!$A$2:$C$101,3,FALSE),"Không tìm thấy mã")</x:f>
        <x:v>53500</x:v>
      </x:c>
      <x:c r="D18" s="1"/>
    </x:row>
    <x:row r="19" ht="22" customHeight="1">
      <x:c r="A19" s="1" t="str">
        <x:v>LK30</x:v>
      </x:c>
      <x:c r="B19" s="6" t="str">
        <x:f>IFERROR(VLOOKUP(TRIM(A19),Danh_Muc!$A$2:$C$101,2,FALSE),"Không tìm thấy mã")</x:f>
        <x:v>Dây kết nối V3</x:v>
      </x:c>
      <x:c r="C19" s="7" t="n">
        <x:f>IFERROR(VLOOKUP(TRIM(A19),Danh_Muc!$A$2:$C$101,3,FALSE),"Không tìm thấy mã")</x:f>
        <x:v>25000</x:v>
      </x:c>
      <x:c r="D19" s="1"/>
    </x:row>
    <x:row r="20" ht="22" customHeight="1">
      <x:c r="A20" s="6" t="str">
        <x:v>LK67</x:v>
      </x:c>
      <x:c r="B20" s="6" t="str">
        <x:f>IFERROR(VLOOKUP(TRIM(A20),Danh_Muc!$A$2:$C$101,2,FALSE),"Không tìm thấy mã")</x:f>
        <x:v>Module WiFi V7</x:v>
      </x:c>
      <x:c r="C20" s="7" t="n">
        <x:f>IFERROR(VLOOKUP(TRIM(A20),Danh_Muc!$A$2:$C$101,3,FALSE),"Không tìm thấy mã")</x:f>
        <x:v>146000</x:v>
      </x:c>
      <x:c r="D20" s="1"/>
    </x:row>
    <x:row r="21" ht="22" customHeight="1">
      <x:c r="A21" s="1" t="str">
        <x:v>LK04</x:v>
      </x:c>
      <x:c r="B21" s="6" t="str">
        <x:f>IFERROR(VLOOKUP(TRIM(A21),Danh_Muc!$A$2:$C$101,2,FALSE),"Không tìm thấy mã")</x:f>
        <x:v>Mạch nguồn V1</x:v>
      </x:c>
      <x:c r="C21" s="7" t="n">
        <x:f>IFERROR(VLOOKUP(TRIM(A21),Danh_Muc!$A$2:$C$101,3,FALSE),"Không tìm thấy mã")</x:f>
        <x:v>65000</x:v>
      </x:c>
      <x:c r="D21" s="1"/>
    </x:row>
    <x:row r="22" ht="22" customHeight="1">
      <x:c r="A22" s="6" t="str">
        <x:v>LK41</x:v>
      </x:c>
      <x:c r="B22" s="6" t="str">
        <x:f>IFERROR(VLOOKUP(TRIM(A22),Danh_Muc!$A$2:$C$101,2,FALSE),"Không tìm thấy mã")</x:f>
        <x:v>Cảm biến nhiệt độ V5</x:v>
      </x:c>
      <x:c r="C22" s="7" t="n">
        <x:f>IFERROR(VLOOKUP(TRIM(A22),Danh_Muc!$A$2:$C$101,3,FALSE),"Không tìm thấy mã")</x:f>
        <x:v>49000</x:v>
      </x:c>
      <x:c r="D22" s="1"/>
    </x:row>
    <x:row r="23" ht="22" customHeight="1">
      <x:c r="A23" s="1" t="str">
        <x:v>LK78</x:v>
      </x:c>
      <x:c r="B23" s="6" t="str">
        <x:f>IFERROR(VLOOKUP(TRIM(A23),Danh_Muc!$A$2:$C$101,2,FALSE),"Không tìm thấy mã")</x:f>
        <x:v>Cảm biến ánh sáng V8</x:v>
      </x:c>
      <x:c r="C23" s="7" t="n">
        <x:f>IFERROR(VLOOKUP(TRIM(A23),Danh_Muc!$A$2:$C$101,3,FALSE),"Không tìm thấy mã")</x:f>
        <x:v>52500</x:v>
      </x:c>
      <x:c r="D23" s="1"/>
    </x:row>
    <x:row r="24" ht="22" customHeight="1">
      <x:c r="A24" s="6" t="str">
        <x:v>LK15</x:v>
      </x:c>
      <x:c r="B24" s="6" t="str">
        <x:f>IFERROR(VLOOKUP(TRIM(A24),Danh_Muc!$A$2:$C$101,2,FALSE),"Không tìm thấy mã")</x:f>
        <x:v>Động cơ servo V2</x:v>
      </x:c>
      <x:c r="C24" s="7" t="n">
        <x:f>IFERROR(VLOOKUP(TRIM(A24),Danh_Muc!$A$2:$C$101,3,FALSE),"Không tìm thấy mã")</x:f>
        <x:v>81500</x:v>
      </x:c>
      <x:c r="D24" s="1"/>
    </x:row>
    <x:row r="25" ht="22" customHeight="1">
      <x:c r="A25" s="1" t="str">
        <x:v>LK52</x:v>
      </x:c>
      <x:c r="B25" s="6" t="str">
        <x:f>IFERROR(VLOOKUP(TRIM(A25),Danh_Muc!$A$2:$C$101,2,FALSE),"Không tìm thấy mã")</x:f>
        <x:v>Cảm biến độ ẩm V6</x:v>
      </x:c>
      <x:c r="C25" s="7" t="n">
        <x:f>IFERROR(VLOOKUP(TRIM(A25),Danh_Muc!$A$2:$C$101,3,FALSE),"Không tìm thấy mã")</x:f>
        <x:v>65500</x:v>
      </x:c>
      <x:c r="D25" s="1"/>
    </x:row>
    <x:row r="26" ht="22" customHeight="1">
      <x:c r="A26" s="6" t="str">
        <x:v>LK89</x:v>
      </x:c>
      <x:c r="B26" s="6" t="str">
        <x:f>IFERROR(VLOOKUP(TRIM(A26),Danh_Muc!$A$2:$C$101,2,FALSE),"Không tìm thấy mã")</x:f>
        <x:v>Bơm mini V9</x:v>
      </x:c>
      <x:c r="C26" s="7" t="n">
        <x:f>IFERROR(VLOOKUP(TRIM(A26),Danh_Muc!$A$2:$C$101,3,FALSE),"Không tìm thấy mã")</x:f>
        <x:v>143000</x:v>
      </x:c>
      <x:c r="D26" s="1"/>
    </x:row>
    <x:row r="27" ht="22" customHeight="1">
      <x:c r="A27" s="1" t="str">
        <x:v>LK26</x:v>
      </x:c>
      <x:c r="B27" s="6" t="str">
        <x:f>IFERROR(VLOOKUP(TRIM(A27),Danh_Muc!$A$2:$C$101,2,FALSE),"Không tìm thấy mã")</x:f>
        <x:v>Màn hình LCD V3</x:v>
      </x:c>
      <x:c r="C27" s="7" t="n">
        <x:f>IFERROR(VLOOKUP(TRIM(A27),Danh_Muc!$A$2:$C$101,3,FALSE),"Không tìm thấy mã")</x:f>
        <x:v>102000</x:v>
      </x:c>
      <x:c r="D27" s="1"/>
    </x:row>
    <x:row r="28" ht="22" customHeight="1">
      <x:c r="A28" s="6" t="str">
        <x:v>LK63</x:v>
      </x:c>
      <x:c r="B28" s="6" t="str">
        <x:f>IFERROR(VLOOKUP(TRIM(A28),Danh_Muc!$A$2:$C$101,2,FALSE),"Không tìm thấy mã")</x:f>
        <x:v>Module relay V7</x:v>
      </x:c>
      <x:c r="C28" s="7" t="n">
        <x:f>IFERROR(VLOOKUP(TRIM(A28),Danh_Muc!$A$2:$C$101,3,FALSE),"Không tìm thấy mã")</x:f>
        <x:v>43000</x:v>
      </x:c>
      <x:c r="D28" s="1"/>
    </x:row>
    <x:row r="29" ht="22" customHeight="1">
      <x:c r="A29" s="1" t="str">
        <x:v>LK100</x:v>
      </x:c>
      <x:c r="B29" s="6" t="str">
        <x:f>IFERROR(VLOOKUP(TRIM(A29),Danh_Muc!$A$2:$C$101,2,FALSE),"Không tìm thấy mã")</x:f>
        <x:v>Dây kết nối V10</x:v>
      </x:c>
      <x:c r="C29" s="7" t="n">
        <x:f>IFERROR(VLOOKUP(TRIM(A29),Danh_Muc!$A$2:$C$101,3,FALSE),"Không tìm thấy mã")</x:f>
        <x:v>49500</x:v>
      </x:c>
      <x:c r="D29" s="1"/>
    </x:row>
    <x:row r="30" ht="22" customHeight="1">
      <x:c r="A30" s="6" t="str">
        <x:v>LK37</x:v>
      </x:c>
      <x:c r="B30" s="6" t="str">
        <x:f>IFERROR(VLOOKUP(TRIM(A30),Danh_Muc!$A$2:$C$101,2,FALSE),"Không tìm thấy mã")</x:f>
        <x:v>Module WiFi V4</x:v>
      </x:c>
      <x:c r="C30" s="7" t="n">
        <x:f>IFERROR(VLOOKUP(TRIM(A30),Danh_Muc!$A$2:$C$101,3,FALSE),"Không tìm thấy mã")</x:f>
        <x:v>135500</x:v>
      </x:c>
      <x:c r="D30" s="1"/>
    </x:row>
    <x:row r="31" ht="22" customHeight="1">
      <x:c r="A31" s="1" t="str">
        <x:v>LK74</x:v>
      </x:c>
      <x:c r="B31" s="6" t="str">
        <x:f>IFERROR(VLOOKUP(TRIM(A31),Danh_Muc!$A$2:$C$101,2,FALSE),"Không tìm thấy mã")</x:f>
        <x:v>Mạch nguồn V8</x:v>
      </x:c>
      <x:c r="C31" s="7" t="n">
        <x:f>IFERROR(VLOOKUP(TRIM(A31),Danh_Muc!$A$2:$C$101,3,FALSE),"Không tìm thấy mã")</x:f>
        <x:v>89500</x:v>
      </x:c>
      <x:c r="D31" s="1"/>
    </x:row>
    <x:row r="32" ht="22" customHeight="1">
      <x:c r="A32" s="6" t="str">
        <x:v>LK11</x:v>
      </x:c>
      <x:c r="B32" s="6" t="str">
        <x:f>IFERROR(VLOOKUP(TRIM(A32),Danh_Muc!$A$2:$C$101,2,FALSE),"Không tìm thấy mã")</x:f>
        <x:v>Cảm biến nhiệt độ V2</x:v>
      </x:c>
      <x:c r="C32" s="7" t="n">
        <x:f>IFERROR(VLOOKUP(TRIM(A32),Danh_Muc!$A$2:$C$101,3,FALSE),"Không tìm thấy mã")</x:f>
        <x:v>38500</x:v>
      </x:c>
      <x:c r="D32" s="1"/>
    </x:row>
    <x:row r="33" ht="22" customHeight="1">
      <x:c r="A33" s="1" t="str">
        <x:v>LK48</x:v>
      </x:c>
      <x:c r="B33" s="6" t="str">
        <x:f>IFERROR(VLOOKUP(TRIM(A33),Danh_Muc!$A$2:$C$101,2,FALSE),"Không tìm thấy mã")</x:f>
        <x:v>Cảm biến ánh sáng V5</x:v>
      </x:c>
      <x:c r="C33" s="7" t="n">
        <x:f>IFERROR(VLOOKUP(TRIM(A33),Danh_Muc!$A$2:$C$101,3,FALSE),"Không tìm thấy mã")</x:f>
        <x:v>42000</x:v>
      </x:c>
      <x:c r="D33" s="1"/>
    </x:row>
    <x:row r="34" ht="22" customHeight="1">
      <x:c r="A34" s="6" t="str">
        <x:v>LK85</x:v>
      </x:c>
      <x:c r="B34" s="6" t="str">
        <x:f>IFERROR(VLOOKUP(TRIM(A34),Danh_Muc!$A$2:$C$101,2,FALSE),"Không tìm thấy mã")</x:f>
        <x:v>Động cơ servo V9</x:v>
      </x:c>
      <x:c r="C34" s="7" t="n">
        <x:f>IFERROR(VLOOKUP(TRIM(A34),Danh_Muc!$A$2:$C$101,3,FALSE),"Không tìm thấy mã")</x:f>
        <x:v>106000</x:v>
      </x:c>
      <x:c r="D34" s="1"/>
    </x:row>
    <x:row r="35" ht="22" customHeight="1">
      <x:c r="A35" s="1" t="str">
        <x:v>LK22</x:v>
      </x:c>
      <x:c r="B35" s="6" t="str">
        <x:f>IFERROR(VLOOKUP(TRIM(A35),Danh_Muc!$A$2:$C$101,2,FALSE),"Không tìm thấy mã")</x:f>
        <x:v>Cảm biến độ ẩm V3</x:v>
      </x:c>
      <x:c r="C35" s="7" t="n">
        <x:f>IFERROR(VLOOKUP(TRIM(A35),Danh_Muc!$A$2:$C$101,3,FALSE),"Không tìm thấy mã")</x:f>
        <x:v>55000</x:v>
      </x:c>
      <x:c r="D35" s="1"/>
    </x:row>
    <x:row r="36" ht="22" customHeight="1">
      <x:c r="A36" s="6" t="str">
        <x:v>LK59</x:v>
      </x:c>
      <x:c r="B36" s="6" t="str">
        <x:f>IFERROR(VLOOKUP(TRIM(A36),Danh_Muc!$A$2:$C$101,2,FALSE),"Không tìm thấy mã")</x:f>
        <x:v>Bơm mini V6</x:v>
      </x:c>
      <x:c r="C36" s="7" t="n">
        <x:f>IFERROR(VLOOKUP(TRIM(A36),Danh_Muc!$A$2:$C$101,3,FALSE),"Không tìm thấy mã")</x:f>
        <x:v>132500</x:v>
      </x:c>
      <x:c r="D36" s="1"/>
    </x:row>
    <x:row r="37" ht="22" customHeight="1">
      <x:c r="A37" s="1" t="str">
        <x:v>LK96</x:v>
      </x:c>
      <x:c r="B37" s="6" t="str">
        <x:f>IFERROR(VLOOKUP(TRIM(A37),Danh_Muc!$A$2:$C$101,2,FALSE),"Không tìm thấy mã")</x:f>
        <x:v>Màn hình LCD V10</x:v>
      </x:c>
      <x:c r="C37" s="7" t="n">
        <x:f>IFERROR(VLOOKUP(TRIM(A37),Danh_Muc!$A$2:$C$101,3,FALSE),"Không tìm thấy mã")</x:f>
        <x:v>126500</x:v>
      </x:c>
      <x:c r="D37" s="1"/>
    </x:row>
    <x:row r="38" ht="22" customHeight="1">
      <x:c r="A38" s="6" t="str">
        <x:v>LK33</x:v>
      </x:c>
      <x:c r="B38" s="6" t="str">
        <x:f>IFERROR(VLOOKUP(TRIM(A38),Danh_Muc!$A$2:$C$101,2,FALSE),"Không tìm thấy mã")</x:f>
        <x:v>Module relay V4</x:v>
      </x:c>
      <x:c r="C38" s="7" t="n">
        <x:f>IFERROR(VLOOKUP(TRIM(A38),Danh_Muc!$A$2:$C$101,3,FALSE),"Không tìm thấy mã")</x:f>
        <x:v>32500</x:v>
      </x:c>
      <x:c r="D38" s="1"/>
    </x:row>
    <x:row r="39" ht="22" customHeight="1">
      <x:c r="A39" s="1" t="str">
        <x:v>LK70</x:v>
      </x:c>
      <x:c r="B39" s="6" t="str">
        <x:f>IFERROR(VLOOKUP(TRIM(A39),Danh_Muc!$A$2:$C$101,2,FALSE),"Không tìm thấy mã")</x:f>
        <x:v>Dây kết nối V7</x:v>
      </x:c>
      <x:c r="C39" s="7" t="n">
        <x:f>IFERROR(VLOOKUP(TRIM(A39),Danh_Muc!$A$2:$C$101,3,FALSE),"Không tìm thấy mã")</x:f>
        <x:v>39000</x:v>
      </x:c>
      <x:c r="D39" s="1"/>
    </x:row>
    <x:row r="40" ht="22" customHeight="1">
      <x:c r="A40" s="6" t="str">
        <x:v>LK07</x:v>
      </x:c>
      <x:c r="B40" s="6" t="str">
        <x:f>IFERROR(VLOOKUP(TRIM(A40),Danh_Muc!$A$2:$C$101,2,FALSE),"Không tìm thấy mã")</x:f>
        <x:v>Module WiFi V1</x:v>
      </x:c>
      <x:c r="C40" s="7" t="n">
        <x:f>IFERROR(VLOOKUP(TRIM(A40),Danh_Muc!$A$2:$C$101,3,FALSE),"Không tìm thấy mã")</x:f>
        <x:v>125000</x:v>
      </x:c>
      <x:c r="D40" s="1"/>
    </x:row>
    <x:row r="41" ht="22" customHeight="1">
      <x:c r="A41" s="1" t="str">
        <x:v>LK44</x:v>
      </x:c>
      <x:c r="B41" s="6" t="str">
        <x:f>IFERROR(VLOOKUP(TRIM(A41),Danh_Muc!$A$2:$C$101,2,FALSE),"Không tìm thấy mã")</x:f>
        <x:v>Mạch nguồn V5</x:v>
      </x:c>
      <x:c r="C41" s="7" t="n">
        <x:f>IFERROR(VLOOKUP(TRIM(A41),Danh_Muc!$A$2:$C$101,3,FALSE),"Không tìm thấy mã")</x:f>
        <x:v>79000</x:v>
      </x:c>
      <x:c r="D41" s="1"/>
    </x:row>
    <x:row r="42" ht="22" customHeight="1">
      <x:c r="A42" s="6" t="str">
        <x:v>LK81</x:v>
      </x:c>
      <x:c r="B42" s="6" t="str">
        <x:f>IFERROR(VLOOKUP(TRIM(A42),Danh_Muc!$A$2:$C$101,2,FALSE),"Không tìm thấy mã")</x:f>
        <x:v>Cảm biến nhiệt độ V9</x:v>
      </x:c>
      <x:c r="C42" s="7" t="n">
        <x:f>IFERROR(VLOOKUP(TRIM(A42),Danh_Muc!$A$2:$C$101,3,FALSE),"Không tìm thấy mã")</x:f>
        <x:v>63000</x:v>
      </x:c>
      <x:c r="D42" s="1"/>
    </x:row>
    <x:row r="43" ht="22" customHeight="1">
      <x:c r="A43" s="1" t="str">
        <x:v>LK18</x:v>
      </x:c>
      <x:c r="B43" s="6" t="str">
        <x:f>IFERROR(VLOOKUP(TRIM(A43),Danh_Muc!$A$2:$C$101,2,FALSE),"Không tìm thấy mã")</x:f>
        <x:v>Cảm biến ánh sáng V2</x:v>
      </x:c>
      <x:c r="C43" s="7" t="n">
        <x:f>IFERROR(VLOOKUP(TRIM(A43),Danh_Muc!$A$2:$C$101,3,FALSE),"Không tìm thấy mã")</x:f>
        <x:v>31500</x:v>
      </x:c>
      <x:c r="D43" s="1"/>
    </x:row>
    <x:row r="44" ht="22" customHeight="1">
      <x:c r="A44" s="6" t="str">
        <x:v>LK55</x:v>
      </x:c>
      <x:c r="B44" s="6" t="str">
        <x:f>IFERROR(VLOOKUP(TRIM(A44),Danh_Muc!$A$2:$C$101,2,FALSE),"Không tìm thấy mã")</x:f>
        <x:v>Động cơ servo V6</x:v>
      </x:c>
      <x:c r="C44" s="7" t="n">
        <x:f>IFERROR(VLOOKUP(TRIM(A44),Danh_Muc!$A$2:$C$101,3,FALSE),"Không tìm thấy mã")</x:f>
        <x:v>95500</x:v>
      </x:c>
      <x:c r="D44" s="1"/>
    </x:row>
    <x:row r="45" ht="22" customHeight="1">
      <x:c r="A45" s="1" t="str">
        <x:v>LK92</x:v>
      </x:c>
      <x:c r="B45" s="6" t="str">
        <x:f>IFERROR(VLOOKUP(TRIM(A45),Danh_Muc!$A$2:$C$101,2,FALSE),"Không tìm thấy mã")</x:f>
        <x:v>Cảm biến độ ẩm V10</x:v>
      </x:c>
      <x:c r="C45" s="7" t="n">
        <x:f>IFERROR(VLOOKUP(TRIM(A45),Danh_Muc!$A$2:$C$101,3,FALSE),"Không tìm thấy mã")</x:f>
        <x:v>79500</x:v>
      </x:c>
      <x:c r="D45" s="1"/>
    </x:row>
    <x:row r="46" ht="22" customHeight="1">
      <x:c r="A46" s="6" t="str">
        <x:v>LK29</x:v>
      </x:c>
      <x:c r="B46" s="6" t="str">
        <x:f>IFERROR(VLOOKUP(TRIM(A46),Danh_Muc!$A$2:$C$101,2,FALSE),"Không tìm thấy mã")</x:f>
        <x:v>Bơm mini V3</x:v>
      </x:c>
      <x:c r="C46" s="7" t="n">
        <x:f>IFERROR(VLOOKUP(TRIM(A46),Danh_Muc!$A$2:$C$101,3,FALSE),"Không tìm thấy mã")</x:f>
        <x:v>122000</x:v>
      </x:c>
      <x:c r="D46" s="1"/>
    </x:row>
    <x:row r="47" ht="22" customHeight="1">
      <x:c r="A47" s="1" t="str">
        <x:v>LK66</x:v>
      </x:c>
      <x:c r="B47" s="6" t="str">
        <x:f>IFERROR(VLOOKUP(TRIM(A47),Danh_Muc!$A$2:$C$101,2,FALSE),"Không tìm thấy mã")</x:f>
        <x:v>Màn hình LCD V7</x:v>
      </x:c>
      <x:c r="C47" s="7" t="n">
        <x:f>IFERROR(VLOOKUP(TRIM(A47),Danh_Muc!$A$2:$C$101,3,FALSE),"Không tìm thấy mã")</x:f>
        <x:v>116000</x:v>
      </x:c>
      <x:c r="D47" s="1"/>
    </x:row>
    <x:row r="48" ht="22" customHeight="1">
      <x:c r="A48" s="6" t="str">
        <x:v>LK03</x:v>
      </x:c>
      <x:c r="B48" s="6" t="str">
        <x:f>IFERROR(VLOOKUP(TRIM(A48),Danh_Muc!$A$2:$C$101,2,FALSE),"Không tìm thấy mã")</x:f>
        <x:v>Module relay V1</x:v>
      </x:c>
      <x:c r="C48" s="7" t="n">
        <x:f>IFERROR(VLOOKUP(TRIM(A48),Danh_Muc!$A$2:$C$101,3,FALSE),"Không tìm thấy mã")</x:f>
        <x:v>22000</x:v>
      </x:c>
      <x:c r="D48" s="1"/>
    </x:row>
    <x:row r="49" ht="22" customHeight="1">
      <x:c r="A49" s="1" t="str">
        <x:v>LK40</x:v>
      </x:c>
      <x:c r="B49" s="6" t="str">
        <x:f>IFERROR(VLOOKUP(TRIM(A49),Danh_Muc!$A$2:$C$101,2,FALSE),"Không tìm thấy mã")</x:f>
        <x:v>Dây kết nối V4</x:v>
      </x:c>
      <x:c r="C49" s="7" t="n">
        <x:f>IFERROR(VLOOKUP(TRIM(A49),Danh_Muc!$A$2:$C$101,3,FALSE),"Không tìm thấy mã")</x:f>
        <x:v>28500</x:v>
      </x:c>
      <x:c r="D49" s="1"/>
    </x:row>
    <x:row r="50" ht="22" customHeight="1">
      <x:c r="A50" s="6" t="str">
        <x:v>LK77</x:v>
      </x:c>
      <x:c r="B50" s="6" t="str">
        <x:f>IFERROR(VLOOKUP(TRIM(A50),Danh_Muc!$A$2:$C$101,2,FALSE),"Không tìm thấy mã")</x:f>
        <x:v>Module WiFi V8</x:v>
      </x:c>
      <x:c r="C50" s="7" t="n">
        <x:f>IFERROR(VLOOKUP(TRIM(A50),Danh_Muc!$A$2:$C$101,3,FALSE),"Không tìm thấy mã")</x:f>
        <x:v>149500</x:v>
      </x:c>
      <x:c r="D50" s="1"/>
    </x:row>
    <x:row r="51" ht="22" customHeight="1">
      <x:c r="A51" s="1" t="str">
        <x:v>LK14</x:v>
      </x:c>
      <x:c r="B51" s="6" t="str">
        <x:f>IFERROR(VLOOKUP(TRIM(A51),Danh_Muc!$A$2:$C$101,2,FALSE),"Không tìm thấy mã")</x:f>
        <x:v>Mạch nguồn V2</x:v>
      </x:c>
      <x:c r="C51" s="7" t="n">
        <x:f>IFERROR(VLOOKUP(TRIM(A51),Danh_Muc!$A$2:$C$101,3,FALSE),"Không tìm thấy mã")</x:f>
        <x:v>68500</x:v>
      </x:c>
      <x:c r="D51" s="1"/>
    </x:row>
    <x:row r="52" ht="22" customHeight="1">
      <x:c r="A52" s="6" t="str">
        <x:v>LK51</x:v>
      </x:c>
      <x:c r="B52" s="6" t="str">
        <x:f>IFERROR(VLOOKUP(TRIM(A52),Danh_Muc!$A$2:$C$101,2,FALSE),"Không tìm thấy mã")</x:f>
        <x:v>Cảm biến nhiệt độ V6</x:v>
      </x:c>
      <x:c r="C52" s="7" t="n">
        <x:f>IFERROR(VLOOKUP(TRIM(A52),Danh_Muc!$A$2:$C$101,3,FALSE),"Không tìm thấy mã")</x:f>
        <x:v>52500</x:v>
      </x:c>
      <x:c r="D52" s="1"/>
    </x:row>
    <x:row r="53" ht="22" customHeight="1">
      <x:c r="A53" s="1" t="str">
        <x:v>LK88</x:v>
      </x:c>
      <x:c r="B53" s="6" t="str">
        <x:f>IFERROR(VLOOKUP(TRIM(A53),Danh_Muc!$A$2:$C$101,2,FALSE),"Không tìm thấy mã")</x:f>
        <x:v>Cảm biến ánh sáng V9</x:v>
      </x:c>
      <x:c r="C53" s="7" t="n">
        <x:f>IFERROR(VLOOKUP(TRIM(A53),Danh_Muc!$A$2:$C$101,3,FALSE),"Không tìm thấy mã")</x:f>
        <x:v>56000</x:v>
      </x:c>
      <x:c r="D53" s="1"/>
    </x:row>
    <x:row r="54" ht="22" customHeight="1">
      <x:c r="A54" s="6" t="str">
        <x:v>LK25</x:v>
      </x:c>
      <x:c r="B54" s="6" t="str">
        <x:f>IFERROR(VLOOKUP(TRIM(A54),Danh_Muc!$A$2:$C$101,2,FALSE),"Không tìm thấy mã")</x:f>
        <x:v>Động cơ servo V3</x:v>
      </x:c>
      <x:c r="C54" s="7" t="n">
        <x:f>IFERROR(VLOOKUP(TRIM(A54),Danh_Muc!$A$2:$C$101,3,FALSE),"Không tìm thấy mã")</x:f>
        <x:v>85000</x:v>
      </x:c>
      <x:c r="D54" s="1"/>
    </x:row>
    <x:row r="55" ht="22" customHeight="1">
      <x:c r="A55" s="1" t="str">
        <x:v>LK62</x:v>
      </x:c>
      <x:c r="B55" s="6" t="str">
        <x:f>IFERROR(VLOOKUP(TRIM(A55),Danh_Muc!$A$2:$C$101,2,FALSE),"Không tìm thấy mã")</x:f>
        <x:v>Cảm biến độ ẩm V7</x:v>
      </x:c>
      <x:c r="C55" s="7" t="n">
        <x:f>IFERROR(VLOOKUP(TRIM(A55),Danh_Muc!$A$2:$C$101,3,FALSE),"Không tìm thấy mã")</x:f>
        <x:v>69000</x:v>
      </x:c>
      <x:c r="D55" s="1"/>
    </x:row>
    <x:row r="56" ht="22" customHeight="1">
      <x:c r="A56" s="6" t="str">
        <x:v>LK99</x:v>
      </x:c>
      <x:c r="B56" s="6" t="str">
        <x:f>IFERROR(VLOOKUP(TRIM(A56),Danh_Muc!$A$2:$C$101,2,FALSE),"Không tìm thấy mã")</x:f>
        <x:v>Bơm mini V10</x:v>
      </x:c>
      <x:c r="C56" s="7" t="n">
        <x:f>IFERROR(VLOOKUP(TRIM(A56),Danh_Muc!$A$2:$C$101,3,FALSE),"Không tìm thấy mã")</x:f>
        <x:v>146500</x:v>
      </x:c>
      <x:c r="D56" s="1"/>
    </x:row>
    <x:row r="57" ht="22" customHeight="1">
      <x:c r="A57" s="1" t="str">
        <x:v>LK36</x:v>
      </x:c>
      <x:c r="B57" s="6" t="str">
        <x:f>IFERROR(VLOOKUP(TRIM(A57),Danh_Muc!$A$2:$C$101,2,FALSE),"Không tìm thấy mã")</x:f>
        <x:v>Màn hình LCD V4</x:v>
      </x:c>
      <x:c r="C57" s="7" t="n">
        <x:f>IFERROR(VLOOKUP(TRIM(A57),Danh_Muc!$A$2:$C$101,3,FALSE),"Không tìm thấy mã")</x:f>
        <x:v>105500</x:v>
      </x:c>
      <x:c r="D57" s="1"/>
    </x:row>
    <x:row r="58" ht="22" customHeight="1">
      <x:c r="A58" s="6" t="str">
        <x:v>LK73</x:v>
      </x:c>
      <x:c r="B58" s="6" t="str">
        <x:f>IFERROR(VLOOKUP(TRIM(A58),Danh_Muc!$A$2:$C$101,2,FALSE),"Không tìm thấy mã")</x:f>
        <x:v>Module relay V8</x:v>
      </x:c>
      <x:c r="C58" s="7" t="n">
        <x:f>IFERROR(VLOOKUP(TRIM(A58),Danh_Muc!$A$2:$C$101,3,FALSE),"Không tìm thấy mã")</x:f>
        <x:v>46500</x:v>
      </x:c>
      <x:c r="D58" s="1"/>
    </x:row>
    <x:row r="59" ht="22" customHeight="1">
      <x:c r="A59" s="1" t="str">
        <x:v>LK10</x:v>
      </x:c>
      <x:c r="B59" s="6" t="str">
        <x:f>IFERROR(VLOOKUP(TRIM(A59),Danh_Muc!$A$2:$C$101,2,FALSE),"Không tìm thấy mã")</x:f>
        <x:v>Dây kết nối V1</x:v>
      </x:c>
      <x:c r="C59" s="7" t="n">
        <x:f>IFERROR(VLOOKUP(TRIM(A59),Danh_Muc!$A$2:$C$101,3,FALSE),"Không tìm thấy mã")</x:f>
        <x:v>18000</x:v>
      </x:c>
      <x:c r="D59" s="1"/>
    </x:row>
    <x:row r="60" ht="22" customHeight="1">
      <x:c r="A60" s="6" t="str">
        <x:v>LK47</x:v>
      </x:c>
      <x:c r="B60" s="6" t="str">
        <x:f>IFERROR(VLOOKUP(TRIM(A60),Danh_Muc!$A$2:$C$101,2,FALSE),"Không tìm thấy mã")</x:f>
        <x:v>Module WiFi V5</x:v>
      </x:c>
      <x:c r="C60" s="7" t="n">
        <x:f>IFERROR(VLOOKUP(TRIM(A60),Danh_Muc!$A$2:$C$101,3,FALSE),"Không tìm thấy mã")</x:f>
        <x:v>139000</x:v>
      </x:c>
      <x:c r="D60" s="1"/>
    </x:row>
    <x:row r="61" ht="22" customHeight="1">
      <x:c r="A61" s="1" t="str">
        <x:v>LK84</x:v>
      </x:c>
      <x:c r="B61" s="6" t="str">
        <x:f>IFERROR(VLOOKUP(TRIM(A61),Danh_Muc!$A$2:$C$101,2,FALSE),"Không tìm thấy mã")</x:f>
        <x:v>Mạch nguồn V9</x:v>
      </x:c>
      <x:c r="C61" s="7" t="n">
        <x:f>IFERROR(VLOOKUP(TRIM(A61),Danh_Muc!$A$2:$C$101,3,FALSE),"Không tìm thấy mã")</x:f>
        <x:v>93000</x:v>
      </x:c>
      <x:c r="D61" s="1"/>
    </x:row>
    <x:row r="62" ht="22" customHeight="1">
      <x:c r="A62" s="6" t="str">
        <x:v>LK21</x:v>
      </x:c>
      <x:c r="B62" s="6" t="str">
        <x:f>IFERROR(VLOOKUP(TRIM(A62),Danh_Muc!$A$2:$C$101,2,FALSE),"Không tìm thấy mã")</x:f>
        <x:v>Cảm biến nhiệt độ V3</x:v>
      </x:c>
      <x:c r="C62" s="7" t="n">
        <x:f>IFERROR(VLOOKUP(TRIM(A62),Danh_Muc!$A$2:$C$101,3,FALSE),"Không tìm thấy mã")</x:f>
        <x:v>42000</x:v>
      </x:c>
      <x:c r="D62" s="1"/>
    </x:row>
    <x:row r="63" ht="22" customHeight="1">
      <x:c r="A63" s="1" t="str">
        <x:v>LK58</x:v>
      </x:c>
      <x:c r="B63" s="6" t="str">
        <x:f>IFERROR(VLOOKUP(TRIM(A63),Danh_Muc!$A$2:$C$101,2,FALSE),"Không tìm thấy mã")</x:f>
        <x:v>Cảm biến ánh sáng V6</x:v>
      </x:c>
      <x:c r="C63" s="7" t="n">
        <x:f>IFERROR(VLOOKUP(TRIM(A63),Danh_Muc!$A$2:$C$101,3,FALSE),"Không tìm thấy mã")</x:f>
        <x:v>45500</x:v>
      </x:c>
      <x:c r="D63" s="1"/>
    </x:row>
    <x:row r="64" ht="22" customHeight="1">
      <x:c r="A64" s="6" t="str">
        <x:v>LK95</x:v>
      </x:c>
      <x:c r="B64" s="6" t="str">
        <x:f>IFERROR(VLOOKUP(TRIM(A64),Danh_Muc!$A$2:$C$101,2,FALSE),"Không tìm thấy mã")</x:f>
        <x:v>Động cơ servo V10</x:v>
      </x:c>
      <x:c r="C64" s="7" t="n">
        <x:f>IFERROR(VLOOKUP(TRIM(A64),Danh_Muc!$A$2:$C$101,3,FALSE),"Không tìm thấy mã")</x:f>
        <x:v>109500</x:v>
      </x:c>
      <x:c r="D64" s="1"/>
    </x:row>
    <x:row r="65" ht="22" customHeight="1">
      <x:c r="A65" s="1" t="str">
        <x:v>LK32</x:v>
      </x:c>
      <x:c r="B65" s="6" t="str">
        <x:f>IFERROR(VLOOKUP(TRIM(A65),Danh_Muc!$A$2:$C$101,2,FALSE),"Không tìm thấy mã")</x:f>
        <x:v>Cảm biến độ ẩm V4</x:v>
      </x:c>
      <x:c r="C65" s="7" t="n">
        <x:f>IFERROR(VLOOKUP(TRIM(A65),Danh_Muc!$A$2:$C$101,3,FALSE),"Không tìm thấy mã")</x:f>
        <x:v>58500</x:v>
      </x:c>
      <x:c r="D65" s="1"/>
    </x:row>
    <x:row r="66" ht="22" customHeight="1">
      <x:c r="A66" s="6" t="str">
        <x:v>LK69</x:v>
      </x:c>
      <x:c r="B66" s="6" t="str">
        <x:f>IFERROR(VLOOKUP(TRIM(A66),Danh_Muc!$A$2:$C$101,2,FALSE),"Không tìm thấy mã")</x:f>
        <x:v>Bơm mini V7</x:v>
      </x:c>
      <x:c r="C66" s="7" t="n">
        <x:f>IFERROR(VLOOKUP(TRIM(A66),Danh_Muc!$A$2:$C$101,3,FALSE),"Không tìm thấy mã")</x:f>
        <x:v>136000</x:v>
      </x:c>
      <x:c r="D66" s="1"/>
    </x:row>
    <x:row r="67" ht="22" customHeight="1">
      <x:c r="A67" s="1" t="str">
        <x:v>LK06</x:v>
      </x:c>
      <x:c r="B67" s="6" t="str">
        <x:f>IFERROR(VLOOKUP(TRIM(A67),Danh_Muc!$A$2:$C$101,2,FALSE),"Không tìm thấy mã")</x:f>
        <x:v>Màn hình LCD V1</x:v>
      </x:c>
      <x:c r="C67" s="7" t="n">
        <x:f>IFERROR(VLOOKUP(TRIM(A67),Danh_Muc!$A$2:$C$101,3,FALSE),"Không tìm thấy mã")</x:f>
        <x:v>95000</x:v>
      </x:c>
      <x:c r="D67" s="1"/>
    </x:row>
    <x:row r="68" ht="22" customHeight="1">
      <x:c r="A68" s="6" t="str">
        <x:v>LK43</x:v>
      </x:c>
      <x:c r="B68" s="6" t="str">
        <x:f>IFERROR(VLOOKUP(TRIM(A68),Danh_Muc!$A$2:$C$101,2,FALSE),"Không tìm thấy mã")</x:f>
        <x:v>Module relay V5</x:v>
      </x:c>
      <x:c r="C68" s="7" t="n">
        <x:f>IFERROR(VLOOKUP(TRIM(A68),Danh_Muc!$A$2:$C$101,3,FALSE),"Không tìm thấy mã")</x:f>
        <x:v>36000</x:v>
      </x:c>
      <x:c r="D68" s="1"/>
    </x:row>
    <x:row r="69" ht="22" customHeight="1">
      <x:c r="A69" s="1" t="str">
        <x:v>LK80</x:v>
      </x:c>
      <x:c r="B69" s="6" t="str">
        <x:f>IFERROR(VLOOKUP(TRIM(A69),Danh_Muc!$A$2:$C$101,2,FALSE),"Không tìm thấy mã")</x:f>
        <x:v>Dây kết nối V8</x:v>
      </x:c>
      <x:c r="C69" s="7" t="n">
        <x:f>IFERROR(VLOOKUP(TRIM(A69),Danh_Muc!$A$2:$C$101,3,FALSE),"Không tìm thấy mã")</x:f>
        <x:v>42500</x:v>
      </x:c>
      <x:c r="D69" s="1"/>
    </x:row>
    <x:row r="70" ht="22" customHeight="1">
      <x:c r="A70" s="6" t="str">
        <x:v>LK17</x:v>
      </x:c>
      <x:c r="B70" s="6" t="str">
        <x:f>IFERROR(VLOOKUP(TRIM(A70),Danh_Muc!$A$2:$C$101,2,FALSE),"Không tìm thấy mã")</x:f>
        <x:v>Module WiFi V2</x:v>
      </x:c>
      <x:c r="C70" s="7" t="n">
        <x:f>IFERROR(VLOOKUP(TRIM(A70),Danh_Muc!$A$2:$C$101,3,FALSE),"Không tìm thấy mã")</x:f>
        <x:v>128500</x:v>
      </x:c>
      <x:c r="D70" s="1"/>
    </x:row>
    <x:row r="71" ht="22" customHeight="1">
      <x:c r="A71" s="1" t="str">
        <x:v>LK54</x:v>
      </x:c>
      <x:c r="B71" s="6" t="str">
        <x:f>IFERROR(VLOOKUP(TRIM(A71),Danh_Muc!$A$2:$C$101,2,FALSE),"Không tìm thấy mã")</x:f>
        <x:v>Mạch nguồn V6</x:v>
      </x:c>
      <x:c r="C71" s="7" t="n">
        <x:f>IFERROR(VLOOKUP(TRIM(A71),Danh_Muc!$A$2:$C$101,3,FALSE),"Không tìm thấy mã")</x:f>
        <x:v>82500</x:v>
      </x:c>
      <x:c r="D71" s="1"/>
    </x:row>
    <x:row r="72" ht="22" customHeight="1">
      <x:c r="A72" s="6" t="str">
        <x:v>LK91</x:v>
      </x:c>
      <x:c r="B72" s="6" t="str">
        <x:f>IFERROR(VLOOKUP(TRIM(A72),Danh_Muc!$A$2:$C$101,2,FALSE),"Không tìm thấy mã")</x:f>
        <x:v>Cảm biến nhiệt độ V10</x:v>
      </x:c>
      <x:c r="C72" s="7" t="n">
        <x:f>IFERROR(VLOOKUP(TRIM(A72),Danh_Muc!$A$2:$C$101,3,FALSE),"Không tìm thấy mã")</x:f>
        <x:v>66500</x:v>
      </x:c>
      <x:c r="D72" s="1"/>
    </x:row>
    <x:row r="73" ht="22" customHeight="1">
      <x:c r="A73" s="1" t="str">
        <x:v>LK28</x:v>
      </x:c>
      <x:c r="B73" s="6" t="str">
        <x:f>IFERROR(VLOOKUP(TRIM(A73),Danh_Muc!$A$2:$C$101,2,FALSE),"Không tìm thấy mã")</x:f>
        <x:v>Cảm biến ánh sáng V3</x:v>
      </x:c>
      <x:c r="C73" s="7" t="n">
        <x:f>IFERROR(VLOOKUP(TRIM(A73),Danh_Muc!$A$2:$C$101,3,FALSE),"Không tìm thấy mã")</x:f>
        <x:v>35000</x:v>
      </x:c>
      <x:c r="D73" s="1"/>
    </x:row>
    <x:row r="74" ht="22" customHeight="1">
      <x:c r="A74" s="6" t="str">
        <x:v>LK65</x:v>
      </x:c>
      <x:c r="B74" s="6" t="str">
        <x:f>IFERROR(VLOOKUP(TRIM(A74),Danh_Muc!$A$2:$C$101,2,FALSE),"Không tìm thấy mã")</x:f>
        <x:v>Động cơ servo V7</x:v>
      </x:c>
      <x:c r="C74" s="7" t="n">
        <x:f>IFERROR(VLOOKUP(TRIM(A74),Danh_Muc!$A$2:$C$101,3,FALSE),"Không tìm thấy mã")</x:f>
        <x:v>99000</x:v>
      </x:c>
      <x:c r="D74" s="1"/>
    </x:row>
    <x:row r="75" ht="22" customHeight="1">
      <x:c r="A75" s="1" t="str">
        <x:v>LK02</x:v>
      </x:c>
      <x:c r="B75" s="6" t="str">
        <x:f>IFERROR(VLOOKUP(TRIM(A75),Danh_Muc!$A$2:$C$101,2,FALSE),"Không tìm thấy mã")</x:f>
        <x:v>Cảm biến độ ẩm V1</x:v>
      </x:c>
      <x:c r="C75" s="7" t="n">
        <x:f>IFERROR(VLOOKUP(TRIM(A75),Danh_Muc!$A$2:$C$101,3,FALSE),"Không tìm thấy mã")</x:f>
        <x:v>48000</x:v>
      </x:c>
      <x:c r="D75" s="1"/>
    </x:row>
    <x:row r="76" ht="22" customHeight="1">
      <x:c r="A76" s="6" t="str">
        <x:v>LK39</x:v>
      </x:c>
      <x:c r="B76" s="6" t="str">
        <x:f>IFERROR(VLOOKUP(TRIM(A76),Danh_Muc!$A$2:$C$101,2,FALSE),"Không tìm thấy mã")</x:f>
        <x:v>Bơm mini V4</x:v>
      </x:c>
      <x:c r="C76" s="7" t="n">
        <x:f>IFERROR(VLOOKUP(TRIM(A76),Danh_Muc!$A$2:$C$101,3,FALSE),"Không tìm thấy mã")</x:f>
        <x:v>125500</x:v>
      </x:c>
      <x:c r="D76" s="1"/>
    </x:row>
    <x:row r="77" ht="22" customHeight="1">
      <x:c r="A77" s="1" t="str">
        <x:v>LK76</x:v>
      </x:c>
      <x:c r="B77" s="6" t="str">
        <x:f>IFERROR(VLOOKUP(TRIM(A77),Danh_Muc!$A$2:$C$101,2,FALSE),"Không tìm thấy mã")</x:f>
        <x:v>Màn hình LCD V8</x:v>
      </x:c>
      <x:c r="C77" s="7" t="n">
        <x:f>IFERROR(VLOOKUP(TRIM(A77),Danh_Muc!$A$2:$C$101,3,FALSE),"Không tìm thấy mã")</x:f>
        <x:v>119500</x:v>
      </x:c>
      <x:c r="D77" s="1"/>
    </x:row>
    <x:row r="78" ht="22" customHeight="1">
      <x:c r="A78" s="6" t="str">
        <x:v>LK13</x:v>
      </x:c>
      <x:c r="B78" s="6" t="str">
        <x:f>IFERROR(VLOOKUP(TRIM(A78),Danh_Muc!$A$2:$C$101,2,FALSE),"Không tìm thấy mã")</x:f>
        <x:v>Module relay V2</x:v>
      </x:c>
      <x:c r="C78" s="7" t="n">
        <x:f>IFERROR(VLOOKUP(TRIM(A78),Danh_Muc!$A$2:$C$101,3,FALSE),"Không tìm thấy mã")</x:f>
        <x:v>25500</x:v>
      </x:c>
      <x:c r="D78" s="1"/>
    </x:row>
    <x:row r="79" ht="22" customHeight="1">
      <x:c r="A79" s="1" t="str">
        <x:v>LK50</x:v>
      </x:c>
      <x:c r="B79" s="6" t="str">
        <x:f>IFERROR(VLOOKUP(TRIM(A79),Danh_Muc!$A$2:$C$101,2,FALSE),"Không tìm thấy mã")</x:f>
        <x:v>Dây kết nối V5</x:v>
      </x:c>
      <x:c r="C79" s="7" t="n">
        <x:f>IFERROR(VLOOKUP(TRIM(A79),Danh_Muc!$A$2:$C$101,3,FALSE),"Không tìm thấy mã")</x:f>
        <x:v>32000</x:v>
      </x:c>
      <x:c r="D79" s="1"/>
    </x:row>
    <x:row r="80" ht="22" customHeight="1">
      <x:c r="A80" s="6" t="str">
        <x:v>LK87</x:v>
      </x:c>
      <x:c r="B80" s="6" t="str">
        <x:f>IFERROR(VLOOKUP(TRIM(A80),Danh_Muc!$A$2:$C$101,2,FALSE),"Không tìm thấy mã")</x:f>
        <x:v>Module WiFi V9</x:v>
      </x:c>
      <x:c r="C80" s="7" t="n">
        <x:f>IFERROR(VLOOKUP(TRIM(A80),Danh_Muc!$A$2:$C$101,3,FALSE),"Không tìm thấy mã")</x:f>
        <x:v>153000</x:v>
      </x:c>
      <x:c r="D80" s="1"/>
    </x:row>
    <x:row r="81" ht="22" customHeight="1">
      <x:c r="A81" s="1" t="str">
        <x:v>LK24</x:v>
      </x:c>
      <x:c r="B81" s="6" t="str">
        <x:f>IFERROR(VLOOKUP(TRIM(A81),Danh_Muc!$A$2:$C$101,2,FALSE),"Không tìm thấy mã")</x:f>
        <x:v>Mạch nguồn V3</x:v>
      </x:c>
      <x:c r="C81" s="7" t="n">
        <x:f>IFERROR(VLOOKUP(TRIM(A81),Danh_Muc!$A$2:$C$101,3,FALSE),"Không tìm thấy mã")</x:f>
        <x:v>72000</x:v>
      </x:c>
      <x:c r="D81" s="1"/>
    </x:row>
    <x:row r="82" ht="22" customHeight="1">
      <x:c r="A82" s="6" t="str">
        <x:v>LK61</x:v>
      </x:c>
      <x:c r="B82" s="6" t="str">
        <x:f>IFERROR(VLOOKUP(TRIM(A82),Danh_Muc!$A$2:$C$101,2,FALSE),"Không tìm thấy mã")</x:f>
        <x:v>Cảm biến nhiệt độ V7</x:v>
      </x:c>
      <x:c r="C82" s="7" t="n">
        <x:f>IFERROR(VLOOKUP(TRIM(A82),Danh_Muc!$A$2:$C$101,3,FALSE),"Không tìm thấy mã")</x:f>
        <x:v>56000</x:v>
      </x:c>
      <x:c r="D82" s="1"/>
    </x:row>
    <x:row r="83" ht="22" customHeight="1">
      <x:c r="A83" s="1" t="str">
        <x:v>LK98</x:v>
      </x:c>
      <x:c r="B83" s="6" t="str">
        <x:f>IFERROR(VLOOKUP(TRIM(A83),Danh_Muc!$A$2:$C$101,2,FALSE),"Không tìm thấy mã")</x:f>
        <x:v>Cảm biến ánh sáng V10</x:v>
      </x:c>
      <x:c r="C83" s="7" t="n">
        <x:f>IFERROR(VLOOKUP(TRIM(A83),Danh_Muc!$A$2:$C$101,3,FALSE),"Không tìm thấy mã")</x:f>
        <x:v>59500</x:v>
      </x:c>
      <x:c r="D83" s="1"/>
    </x:row>
    <x:row r="84" ht="22" customHeight="1">
      <x:c r="A84" s="6" t="str">
        <x:v>LK35</x:v>
      </x:c>
      <x:c r="B84" s="6" t="str">
        <x:f>IFERROR(VLOOKUP(TRIM(A84),Danh_Muc!$A$2:$C$101,2,FALSE),"Không tìm thấy mã")</x:f>
        <x:v>Động cơ servo V4</x:v>
      </x:c>
      <x:c r="C84" s="7" t="n">
        <x:f>IFERROR(VLOOKUP(TRIM(A84),Danh_Muc!$A$2:$C$101,3,FALSE),"Không tìm thấy mã")</x:f>
        <x:v>88500</x:v>
      </x:c>
      <x:c r="D84" s="1"/>
    </x:row>
    <x:row r="85" ht="22" customHeight="1">
      <x:c r="A85" s="1" t="str">
        <x:v>LK72</x:v>
      </x:c>
      <x:c r="B85" s="6" t="str">
        <x:f>IFERROR(VLOOKUP(TRIM(A85),Danh_Muc!$A$2:$C$101,2,FALSE),"Không tìm thấy mã")</x:f>
        <x:v>Cảm biến độ ẩm V8</x:v>
      </x:c>
      <x:c r="C85" s="7" t="n">
        <x:f>IFERROR(VLOOKUP(TRIM(A85),Danh_Muc!$A$2:$C$101,3,FALSE),"Không tìm thấy mã")</x:f>
        <x:v>72500</x:v>
      </x:c>
      <x:c r="D85" s="1"/>
    </x:row>
    <x:row r="86" ht="22" customHeight="1">
      <x:c r="A86" s="6" t="str">
        <x:v>LK09</x:v>
      </x:c>
      <x:c r="B86" s="6" t="str">
        <x:f>IFERROR(VLOOKUP(TRIM(A86),Danh_Muc!$A$2:$C$101,2,FALSE),"Không tìm thấy mã")</x:f>
        <x:v>Bơm mini V1</x:v>
      </x:c>
      <x:c r="C86" s="7" t="n">
        <x:f>IFERROR(VLOOKUP(TRIM(A86),Danh_Muc!$A$2:$C$101,3,FALSE),"Không tìm thấy mã")</x:f>
        <x:v>115000</x:v>
      </x:c>
      <x:c r="D86" s="1"/>
    </x:row>
    <x:row r="87" ht="22" customHeight="1">
      <x:c r="A87" s="1" t="str">
        <x:v>LK46</x:v>
      </x:c>
      <x:c r="B87" s="6" t="str">
        <x:f>IFERROR(VLOOKUP(TRIM(A87),Danh_Muc!$A$2:$C$101,2,FALSE),"Không tìm thấy mã")</x:f>
        <x:v>Màn hình LCD V5</x:v>
      </x:c>
      <x:c r="C87" s="7" t="n">
        <x:f>IFERROR(VLOOKUP(TRIM(A87),Danh_Muc!$A$2:$C$101,3,FALSE),"Không tìm thấy mã")</x:f>
        <x:v>109000</x:v>
      </x:c>
      <x:c r="D87" s="1"/>
    </x:row>
    <x:row r="88" ht="22" customHeight="1">
      <x:c r="A88" s="6" t="str">
        <x:v>LK83</x:v>
      </x:c>
      <x:c r="B88" s="6" t="str">
        <x:f>IFERROR(VLOOKUP(TRIM(A88),Danh_Muc!$A$2:$C$101,2,FALSE),"Không tìm thấy mã")</x:f>
        <x:v>Module relay V9</x:v>
      </x:c>
      <x:c r="C88" s="7" t="n">
        <x:f>IFERROR(VLOOKUP(TRIM(A88),Danh_Muc!$A$2:$C$101,3,FALSE),"Không tìm thấy mã")</x:f>
        <x:v>50000</x:v>
      </x:c>
      <x:c r="D88" s="1"/>
    </x:row>
    <x:row r="89" ht="22" customHeight="1">
      <x:c r="A89" s="1" t="str">
        <x:v>LK20</x:v>
      </x:c>
      <x:c r="B89" s="6" t="str">
        <x:f>IFERROR(VLOOKUP(TRIM(A89),Danh_Muc!$A$2:$C$101,2,FALSE),"Không tìm thấy mã")</x:f>
        <x:v>Dây kết nối V2</x:v>
      </x:c>
      <x:c r="C89" s="7" t="n">
        <x:f>IFERROR(VLOOKUP(TRIM(A89),Danh_Muc!$A$2:$C$101,3,FALSE),"Không tìm thấy mã")</x:f>
        <x:v>21500</x:v>
      </x:c>
      <x:c r="D89" s="1"/>
    </x:row>
    <x:row r="90" ht="22" customHeight="1">
      <x:c r="A90" s="6" t="str">
        <x:v>LK57</x:v>
      </x:c>
      <x:c r="B90" s="6" t="str">
        <x:f>IFERROR(VLOOKUP(TRIM(A90),Danh_Muc!$A$2:$C$101,2,FALSE),"Không tìm thấy mã")</x:f>
        <x:v>Module WiFi V6</x:v>
      </x:c>
      <x:c r="C90" s="7" t="n">
        <x:f>IFERROR(VLOOKUP(TRIM(A90),Danh_Muc!$A$2:$C$101,3,FALSE),"Không tìm thấy mã")</x:f>
        <x:v>142500</x:v>
      </x:c>
      <x:c r="D90" s="1"/>
    </x:row>
    <x:row r="91" ht="22" customHeight="1">
      <x:c r="A91" s="1" t="str">
        <x:v>LK94</x:v>
      </x:c>
      <x:c r="B91" s="6" t="str">
        <x:f>IFERROR(VLOOKUP(TRIM(A91),Danh_Muc!$A$2:$C$101,2,FALSE),"Không tìm thấy mã")</x:f>
        <x:v>Mạch nguồn V10</x:v>
      </x:c>
      <x:c r="C91" s="7" t="n">
        <x:f>IFERROR(VLOOKUP(TRIM(A91),Danh_Muc!$A$2:$C$101,3,FALSE),"Không tìm thấy mã")</x:f>
        <x:v>96500</x:v>
      </x:c>
      <x:c r="D91" s="1"/>
    </x:row>
    <x:row r="92" ht="22" customHeight="1">
      <x:c r="A92" s="6" t="str">
        <x:v>LK31</x:v>
      </x:c>
      <x:c r="B92" s="6" t="str">
        <x:f>IFERROR(VLOOKUP(TRIM(A92),Danh_Muc!$A$2:$C$101,2,FALSE),"Không tìm thấy mã")</x:f>
        <x:v>Cảm biến nhiệt độ V4</x:v>
      </x:c>
      <x:c r="C92" s="7" t="n">
        <x:f>IFERROR(VLOOKUP(TRIM(A92),Danh_Muc!$A$2:$C$101,3,FALSE),"Không tìm thấy mã")</x:f>
        <x:v>45500</x:v>
      </x:c>
      <x:c r="D92" s="1"/>
    </x:row>
    <x:row r="93" ht="22" customHeight="1">
      <x:c r="A93" s="1" t="str">
        <x:v>LK68</x:v>
      </x:c>
      <x:c r="B93" s="6" t="str">
        <x:f>IFERROR(VLOOKUP(TRIM(A93),Danh_Muc!$A$2:$C$101,2,FALSE),"Không tìm thấy mã")</x:f>
        <x:v>Cảm biến ánh sáng V7</x:v>
      </x:c>
      <x:c r="C93" s="7" t="n">
        <x:f>IFERROR(VLOOKUP(TRIM(A93),Danh_Muc!$A$2:$C$101,3,FALSE),"Không tìm thấy mã")</x:f>
        <x:v>49000</x:v>
      </x:c>
      <x:c r="D93" s="1"/>
    </x:row>
    <x:row r="94" ht="22" customHeight="1">
      <x:c r="A94" s="6" t="str">
        <x:v>LK05</x:v>
      </x:c>
      <x:c r="B94" s="6" t="str">
        <x:f>IFERROR(VLOOKUP(TRIM(A94),Danh_Muc!$A$2:$C$101,2,FALSE),"Không tìm thấy mã")</x:f>
        <x:v>Động cơ servo V1</x:v>
      </x:c>
      <x:c r="C94" s="7" t="n">
        <x:f>IFERROR(VLOOKUP(TRIM(A94),Danh_Muc!$A$2:$C$101,3,FALSE),"Không tìm thấy mã")</x:f>
        <x:v>78000</x:v>
      </x:c>
      <x:c r="D94" s="1"/>
    </x:row>
    <x:row r="95" ht="22" customHeight="1">
      <x:c r="A95" s="1" t="str">
        <x:v>LK42</x:v>
      </x:c>
      <x:c r="B95" s="6" t="str">
        <x:f>IFERROR(VLOOKUP(TRIM(A95),Danh_Muc!$A$2:$C$101,2,FALSE),"Không tìm thấy mã")</x:f>
        <x:v>Cảm biến độ ẩm V5</x:v>
      </x:c>
      <x:c r="C95" s="7" t="n">
        <x:f>IFERROR(VLOOKUP(TRIM(A95),Danh_Muc!$A$2:$C$101,3,FALSE),"Không tìm thấy mã")</x:f>
        <x:v>62000</x:v>
      </x:c>
      <x:c r="D95" s="1"/>
    </x:row>
    <x:row r="96" ht="22" customHeight="1">
      <x:c r="A96" s="6" t="str">
        <x:v>LK79</x:v>
      </x:c>
      <x:c r="B96" s="6" t="str">
        <x:f>IFERROR(VLOOKUP(TRIM(A96),Danh_Muc!$A$2:$C$101,2,FALSE),"Không tìm thấy mã")</x:f>
        <x:v>Bơm mini V8</x:v>
      </x:c>
      <x:c r="C96" s="7" t="n">
        <x:f>IFERROR(VLOOKUP(TRIM(A96),Danh_Muc!$A$2:$C$101,3,FALSE),"Không tìm thấy mã")</x:f>
        <x:v>139500</x:v>
      </x:c>
      <x:c r="D96" s="1"/>
    </x:row>
    <x:row r="97" ht="22" customHeight="1">
      <x:c r="A97" s="1" t="str">
        <x:v>LK16</x:v>
      </x:c>
      <x:c r="B97" s="6" t="str">
        <x:f>IFERROR(VLOOKUP(TRIM(A97),Danh_Muc!$A$2:$C$101,2,FALSE),"Không tìm thấy mã")</x:f>
        <x:v>Màn hình LCD V2</x:v>
      </x:c>
      <x:c r="C97" s="7" t="n">
        <x:f>IFERROR(VLOOKUP(TRIM(A97),Danh_Muc!$A$2:$C$101,3,FALSE),"Không tìm thấy mã")</x:f>
        <x:v>98500</x:v>
      </x:c>
      <x:c r="D97" s="1"/>
    </x:row>
    <x:row r="98" ht="22" customHeight="1">
      <x:c r="A98" s="6" t="str">
        <x:v>LK53</x:v>
      </x:c>
      <x:c r="B98" s="6" t="str">
        <x:f>IFERROR(VLOOKUP(TRIM(A98),Danh_Muc!$A$2:$C$101,2,FALSE),"Không tìm thấy mã")</x:f>
        <x:v>Module relay V6</x:v>
      </x:c>
      <x:c r="C98" s="7" t="n">
        <x:f>IFERROR(VLOOKUP(TRIM(A98),Danh_Muc!$A$2:$C$101,3,FALSE),"Không tìm thấy mã")</x:f>
        <x:v>39500</x:v>
      </x:c>
      <x:c r="D98" s="1"/>
    </x:row>
    <x:row r="99" ht="22" customHeight="1">
      <x:c r="A99" s="1" t="str">
        <x:v>LK90</x:v>
      </x:c>
      <x:c r="B99" s="6" t="str">
        <x:f>IFERROR(VLOOKUP(TRIM(A99),Danh_Muc!$A$2:$C$101,2,FALSE),"Không tìm thấy mã")</x:f>
        <x:v>Dây kết nối V9</x:v>
      </x:c>
      <x:c r="C99" s="7" t="n">
        <x:f>IFERROR(VLOOKUP(TRIM(A99),Danh_Muc!$A$2:$C$101,3,FALSE),"Không tìm thấy mã")</x:f>
        <x:v>46000</x:v>
      </x:c>
      <x:c r="D99" s="1"/>
    </x:row>
    <x:row r="100" ht="22" customHeight="1">
      <x:c r="A100" s="6" t="str">
        <x:v>LK27</x:v>
      </x:c>
      <x:c r="B100" s="6" t="str">
        <x:f>IFERROR(VLOOKUP(TRIM(A100),Danh_Muc!$A$2:$C$101,2,FALSE),"Không tìm thấy mã")</x:f>
        <x:v>Module WiFi V3</x:v>
      </x:c>
      <x:c r="C100" s="7" t="n">
        <x:f>IFERROR(VLOOKUP(TRIM(A100),Danh_Muc!$A$2:$C$101,3,FALSE),"Không tìm thấy mã")</x:f>
        <x:v>132000</x:v>
      </x:c>
      <x:c r="D100" s="1"/>
    </x:row>
    <x:row r="101" ht="22" customHeight="1">
      <x:c r="A101" s="1" t="str">
        <x:v>LK64</x:v>
      </x:c>
      <x:c r="B101" s="6" t="str">
        <x:f>IFERROR(VLOOKUP(TRIM(A101),Danh_Muc!$A$2:$C$101,2,FALSE),"Không tìm thấy mã")</x:f>
        <x:v>Mạch nguồn V7</x:v>
      </x:c>
      <x:c r="C101" s="7" t="n">
        <x:f>IFERROR(VLOOKUP(TRIM(A101),Danh_Muc!$A$2:$C$101,3,FALSE),"Không tìm thấy mã")</x:f>
        <x:v>86000</x:v>
      </x:c>
      <x:c r="D1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24" hidden="0" customWidth="1"/>
    <x:col min="6" max="6" width="65" hidden="0" customWidth="1"/>
  </x:cols>
  <x:sheetData>
    <x:row r="1" ht="22" customHeight="1">
      <x:c r="A1" s="4" t="str">
        <x:v>Mã linh kiện</x:v>
      </x:c>
      <x:c r="B1" s="4" t="str">
        <x:v>Tên linh kiện</x:v>
      </x:c>
      <x:c r="C1" s="4" t="str">
        <x:v>Đơn giá (VNĐ)</x:v>
      </x:c>
      <x:c r="D1" s="8" t="str">
        <x:v>Mã gốc cần làm sạch</x:v>
      </x:c>
      <x:c r="F1" t="str">
        <x:v>Dữ liệu minh họa cho bài tập</x:v>
      </x:c>
    </x:row>
    <x:row r="2" ht="22" customHeight="1">
      <x:c r="A2" s="6" t="str">
        <x:f>TRIM(D2)</x:f>
        <x:v>LK01</x:v>
      </x:c>
      <x:c r="B2" s="6" t="str">
        <x:v>Cảm biến nhiệt độ V1</x:v>
      </x:c>
      <x:c r="C2" s="7" t="n">
        <x:v>35000</x:v>
      </x:c>
      <x:c r="D2" s="1" t="str">
        <x:v>LK01   </x:v>
      </x:c>
      <x:c r="F2" t="str">
        <x:v>Cột D giữ mã gốc; cột A dùng TRIM để làm sạch.</x:v>
      </x:c>
    </x:row>
    <x:row r="3" ht="22" customHeight="1">
      <x:c r="A3" s="6" t="str">
        <x:f>TRIM(D3)</x:f>
        <x:v>LK02</x:v>
      </x:c>
      <x:c r="B3" s="1" t="str">
        <x:v>Cảm biến độ ẩm V1</x:v>
      </x:c>
      <x:c r="C3" s="5" t="n">
        <x:v>48000</x:v>
      </x:c>
      <x:c r="D3" s="1" t="str">
        <x:v>LK02</x:v>
      </x:c>
    </x:row>
    <x:row r="4" ht="22" customHeight="1">
      <x:c r="A4" s="6" t="str">
        <x:f>TRIM(D4)</x:f>
        <x:v>LK03</x:v>
      </x:c>
      <x:c r="B4" s="6" t="str">
        <x:v>Module relay V1</x:v>
      </x:c>
      <x:c r="C4" s="7" t="n">
        <x:v>22000</x:v>
      </x:c>
      <x:c r="D4" s="1" t="str">
        <x:v>LK03</x:v>
      </x:c>
    </x:row>
    <x:row r="5" ht="22" customHeight="1">
      <x:c r="A5" s="6" t="str">
        <x:f>TRIM(D5)</x:f>
        <x:v>LK04</x:v>
      </x:c>
      <x:c r="B5" s="1" t="str">
        <x:v>Mạch nguồn V1</x:v>
      </x:c>
      <x:c r="C5" s="5" t="n">
        <x:v>65000</x:v>
      </x:c>
      <x:c r="D5" s="1" t="str">
        <x:v>LK04</x:v>
      </x:c>
    </x:row>
    <x:row r="6" ht="22" customHeight="1">
      <x:c r="A6" s="6" t="str">
        <x:f>TRIM(D6)</x:f>
        <x:v>LK05</x:v>
      </x:c>
      <x:c r="B6" s="6" t="str">
        <x:v>Động cơ servo V1</x:v>
      </x:c>
      <x:c r="C6" s="7" t="n">
        <x:v>78000</x:v>
      </x:c>
      <x:c r="D6" s="1" t="str">
        <x:v>LK05</x:v>
      </x:c>
    </x:row>
    <x:row r="7" ht="22" customHeight="1">
      <x:c r="A7" s="6" t="str">
        <x:f>TRIM(D7)</x:f>
        <x:v>LK06</x:v>
      </x:c>
      <x:c r="B7" s="1" t="str">
        <x:v>Màn hình LCD V1</x:v>
      </x:c>
      <x:c r="C7" s="5" t="n">
        <x:v>95000</x:v>
      </x:c>
      <x:c r="D7" s="1" t="str">
        <x:v>LK06</x:v>
      </x:c>
    </x:row>
    <x:row r="8" ht="22" customHeight="1">
      <x:c r="A8" s="6" t="str">
        <x:f>TRIM(D8)</x:f>
        <x:v>LK07</x:v>
      </x:c>
      <x:c r="B8" s="6" t="str">
        <x:v>Module WiFi V1</x:v>
      </x:c>
      <x:c r="C8" s="7" t="n">
        <x:v>125000</x:v>
      </x:c>
      <x:c r="D8" s="1" t="str">
        <x:v>LK07</x:v>
      </x:c>
    </x:row>
    <x:row r="9" ht="22" customHeight="1">
      <x:c r="A9" s="6" t="str">
        <x:f>TRIM(D9)</x:f>
        <x:v>LK08</x:v>
      </x:c>
      <x:c r="B9" s="1" t="str">
        <x:v>Cảm biến ánh sáng V1</x:v>
      </x:c>
      <x:c r="C9" s="5" t="n">
        <x:v>28000</x:v>
      </x:c>
      <x:c r="D9" s="1" t="str">
        <x:v>LK08</x:v>
      </x:c>
    </x:row>
    <x:row r="10" ht="22" customHeight="1">
      <x:c r="A10" s="6" t="str">
        <x:f>TRIM(D10)</x:f>
        <x:v>LK09</x:v>
      </x:c>
      <x:c r="B10" s="6" t="str">
        <x:v>Bơm mini V1</x:v>
      </x:c>
      <x:c r="C10" s="7" t="n">
        <x:v>115000</x:v>
      </x:c>
      <x:c r="D10" s="1" t="str">
        <x:v>LK09</x:v>
      </x:c>
    </x:row>
    <x:row r="11" ht="22" customHeight="1">
      <x:c r="A11" s="6" t="str">
        <x:f>TRIM(D11)</x:f>
        <x:v>LK10</x:v>
      </x:c>
      <x:c r="B11" s="1" t="str">
        <x:v>Dây kết nối V1</x:v>
      </x:c>
      <x:c r="C11" s="5" t="n">
        <x:v>18000</x:v>
      </x:c>
      <x:c r="D11" s="1" t="str">
        <x:v>LK10</x:v>
      </x:c>
    </x:row>
    <x:row r="12" ht="22" customHeight="1">
      <x:c r="A12" s="6" t="str">
        <x:f>TRIM(D12)</x:f>
        <x:v>LK11</x:v>
      </x:c>
      <x:c r="B12" s="6" t="str">
        <x:v>Cảm biến nhiệt độ V2</x:v>
      </x:c>
      <x:c r="C12" s="7" t="n">
        <x:v>38500</x:v>
      </x:c>
      <x:c r="D12" s="1" t="str">
        <x:v>LK11   </x:v>
      </x:c>
    </x:row>
    <x:row r="13" ht="22" customHeight="1">
      <x:c r="A13" s="6" t="str">
        <x:f>TRIM(D13)</x:f>
        <x:v>LK12</x:v>
      </x:c>
      <x:c r="B13" s="1" t="str">
        <x:v>Cảm biến độ ẩm V2</x:v>
      </x:c>
      <x:c r="C13" s="5" t="n">
        <x:v>51500</x:v>
      </x:c>
      <x:c r="D13" s="1" t="str">
        <x:v>LK12</x:v>
      </x:c>
    </x:row>
    <x:row r="14" ht="22" customHeight="1">
      <x:c r="A14" s="6" t="str">
        <x:f>TRIM(D14)</x:f>
        <x:v>LK13</x:v>
      </x:c>
      <x:c r="B14" s="6" t="str">
        <x:v>Module relay V2</x:v>
      </x:c>
      <x:c r="C14" s="7" t="n">
        <x:v>25500</x:v>
      </x:c>
      <x:c r="D14" s="1" t="str">
        <x:v>LK13</x:v>
      </x:c>
    </x:row>
    <x:row r="15" ht="22" customHeight="1">
      <x:c r="A15" s="6" t="str">
        <x:f>TRIM(D15)</x:f>
        <x:v>LK14</x:v>
      </x:c>
      <x:c r="B15" s="1" t="str">
        <x:v>Mạch nguồn V2</x:v>
      </x:c>
      <x:c r="C15" s="5" t="n">
        <x:v>68500</x:v>
      </x:c>
      <x:c r="D15" s="1" t="str">
        <x:v>LK14</x:v>
      </x:c>
    </x:row>
    <x:row r="16" ht="22" customHeight="1">
      <x:c r="A16" s="6" t="str">
        <x:f>TRIM(D16)</x:f>
        <x:v>LK15</x:v>
      </x:c>
      <x:c r="B16" s="6" t="str">
        <x:v>Động cơ servo V2</x:v>
      </x:c>
      <x:c r="C16" s="7" t="n">
        <x:v>81500</x:v>
      </x:c>
      <x:c r="D16" s="1" t="str">
        <x:v>LK15</x:v>
      </x:c>
    </x:row>
    <x:row r="17" ht="22" customHeight="1">
      <x:c r="A17" s="6" t="str">
        <x:f>TRIM(D17)</x:f>
        <x:v>LK16</x:v>
      </x:c>
      <x:c r="B17" s="1" t="str">
        <x:v>Màn hình LCD V2</x:v>
      </x:c>
      <x:c r="C17" s="5" t="n">
        <x:v>98500</x:v>
      </x:c>
      <x:c r="D17" s="1" t="str">
        <x:v>LK16</x:v>
      </x:c>
    </x:row>
    <x:row r="18" ht="22" customHeight="1">
      <x:c r="A18" s="6" t="str">
        <x:f>TRIM(D18)</x:f>
        <x:v>LK17</x:v>
      </x:c>
      <x:c r="B18" s="6" t="str">
        <x:v>Module WiFi V2</x:v>
      </x:c>
      <x:c r="C18" s="7" t="n">
        <x:v>128500</x:v>
      </x:c>
      <x:c r="D18" s="1" t="str">
        <x:v>LK17</x:v>
      </x:c>
    </x:row>
    <x:row r="19" ht="22" customHeight="1">
      <x:c r="A19" s="6" t="str">
        <x:f>TRIM(D19)</x:f>
        <x:v>LK18</x:v>
      </x:c>
      <x:c r="B19" s="1" t="str">
        <x:v>Cảm biến ánh sáng V2</x:v>
      </x:c>
      <x:c r="C19" s="5" t="n">
        <x:v>31500</x:v>
      </x:c>
      <x:c r="D19" s="1" t="str">
        <x:v>LK18</x:v>
      </x:c>
    </x:row>
    <x:row r="20" ht="22" customHeight="1">
      <x:c r="A20" s="6" t="str">
        <x:f>TRIM(D20)</x:f>
        <x:v>LK19</x:v>
      </x:c>
      <x:c r="B20" s="6" t="str">
        <x:v>Bơm mini V2</x:v>
      </x:c>
      <x:c r="C20" s="7" t="n">
        <x:v>118500</x:v>
      </x:c>
      <x:c r="D20" s="1" t="str">
        <x:v>LK19</x:v>
      </x:c>
    </x:row>
    <x:row r="21" ht="22" customHeight="1">
      <x:c r="A21" s="6" t="str">
        <x:f>TRIM(D21)</x:f>
        <x:v>LK20</x:v>
      </x:c>
      <x:c r="B21" s="1" t="str">
        <x:v>Dây kết nối V2</x:v>
      </x:c>
      <x:c r="C21" s="5" t="n">
        <x:v>21500</x:v>
      </x:c>
      <x:c r="D21" s="1" t="str">
        <x:v>LK20</x:v>
      </x:c>
    </x:row>
    <x:row r="22" ht="22" customHeight="1">
      <x:c r="A22" s="6" t="str">
        <x:f>TRIM(D22)</x:f>
        <x:v>LK21</x:v>
      </x:c>
      <x:c r="B22" s="6" t="str">
        <x:v>Cảm biến nhiệt độ V3</x:v>
      </x:c>
      <x:c r="C22" s="7" t="n">
        <x:v>42000</x:v>
      </x:c>
      <x:c r="D22" s="1" t="str">
        <x:v>LK21   </x:v>
      </x:c>
    </x:row>
    <x:row r="23" ht="22" customHeight="1">
      <x:c r="A23" s="6" t="str">
        <x:f>TRIM(D23)</x:f>
        <x:v>LK22</x:v>
      </x:c>
      <x:c r="B23" s="1" t="str">
        <x:v>Cảm biến độ ẩm V3</x:v>
      </x:c>
      <x:c r="C23" s="5" t="n">
        <x:v>55000</x:v>
      </x:c>
      <x:c r="D23" s="1" t="str">
        <x:v>LK22</x:v>
      </x:c>
    </x:row>
    <x:row r="24" ht="22" customHeight="1">
      <x:c r="A24" s="6" t="str">
        <x:f>TRIM(D24)</x:f>
        <x:v>LK23</x:v>
      </x:c>
      <x:c r="B24" s="6" t="str">
        <x:v>Module relay V3</x:v>
      </x:c>
      <x:c r="C24" s="7" t="n">
        <x:v>29000</x:v>
      </x:c>
      <x:c r="D24" s="1" t="str">
        <x:v>LK23</x:v>
      </x:c>
    </x:row>
    <x:row r="25" ht="22" customHeight="1">
      <x:c r="A25" s="6" t="str">
        <x:f>TRIM(D25)</x:f>
        <x:v>LK24</x:v>
      </x:c>
      <x:c r="B25" s="1" t="str">
        <x:v>Mạch nguồn V3</x:v>
      </x:c>
      <x:c r="C25" s="5" t="n">
        <x:v>72000</x:v>
      </x:c>
      <x:c r="D25" s="1" t="str">
        <x:v>LK24</x:v>
      </x:c>
    </x:row>
    <x:row r="26" ht="22" customHeight="1">
      <x:c r="A26" s="6" t="str">
        <x:f>TRIM(D26)</x:f>
        <x:v>LK25</x:v>
      </x:c>
      <x:c r="B26" s="6" t="str">
        <x:v>Động cơ servo V3</x:v>
      </x:c>
      <x:c r="C26" s="7" t="n">
        <x:v>85000</x:v>
      </x:c>
      <x:c r="D26" s="1" t="str">
        <x:v>LK25</x:v>
      </x:c>
    </x:row>
    <x:row r="27" ht="22" customHeight="1">
      <x:c r="A27" s="6" t="str">
        <x:f>TRIM(D27)</x:f>
        <x:v>LK26</x:v>
      </x:c>
      <x:c r="B27" s="1" t="str">
        <x:v>Màn hình LCD V3</x:v>
      </x:c>
      <x:c r="C27" s="5" t="n">
        <x:v>102000</x:v>
      </x:c>
      <x:c r="D27" s="1" t="str">
        <x:v>LK26</x:v>
      </x:c>
    </x:row>
    <x:row r="28" ht="22" customHeight="1">
      <x:c r="A28" s="6" t="str">
        <x:f>TRIM(D28)</x:f>
        <x:v>LK27</x:v>
      </x:c>
      <x:c r="B28" s="6" t="str">
        <x:v>Module WiFi V3</x:v>
      </x:c>
      <x:c r="C28" s="7" t="n">
        <x:v>132000</x:v>
      </x:c>
      <x:c r="D28" s="1" t="str">
        <x:v>LK27</x:v>
      </x:c>
    </x:row>
    <x:row r="29" ht="22" customHeight="1">
      <x:c r="A29" s="6" t="str">
        <x:f>TRIM(D29)</x:f>
        <x:v>LK28</x:v>
      </x:c>
      <x:c r="B29" s="1" t="str">
        <x:v>Cảm biến ánh sáng V3</x:v>
      </x:c>
      <x:c r="C29" s="5" t="n">
        <x:v>35000</x:v>
      </x:c>
      <x:c r="D29" s="1" t="str">
        <x:v>LK28</x:v>
      </x:c>
    </x:row>
    <x:row r="30" ht="22" customHeight="1">
      <x:c r="A30" s="6" t="str">
        <x:f>TRIM(D30)</x:f>
        <x:v>LK29</x:v>
      </x:c>
      <x:c r="B30" s="6" t="str">
        <x:v>Bơm mini V3</x:v>
      </x:c>
      <x:c r="C30" s="7" t="n">
        <x:v>122000</x:v>
      </x:c>
      <x:c r="D30" s="1" t="str">
        <x:v>LK29</x:v>
      </x:c>
    </x:row>
    <x:row r="31" ht="22" customHeight="1">
      <x:c r="A31" s="6" t="str">
        <x:f>TRIM(D31)</x:f>
        <x:v>LK30</x:v>
      </x:c>
      <x:c r="B31" s="1" t="str">
        <x:v>Dây kết nối V3</x:v>
      </x:c>
      <x:c r="C31" s="5" t="n">
        <x:v>25000</x:v>
      </x:c>
      <x:c r="D31" s="1" t="str">
        <x:v>LK30</x:v>
      </x:c>
    </x:row>
    <x:row r="32" ht="22" customHeight="1">
      <x:c r="A32" s="6" t="str">
        <x:f>TRIM(D32)</x:f>
        <x:v>LK31</x:v>
      </x:c>
      <x:c r="B32" s="6" t="str">
        <x:v>Cảm biến nhiệt độ V4</x:v>
      </x:c>
      <x:c r="C32" s="7" t="n">
        <x:v>45500</x:v>
      </x:c>
      <x:c r="D32" s="1" t="str">
        <x:v>LK31   </x:v>
      </x:c>
    </x:row>
    <x:row r="33" ht="22" customHeight="1">
      <x:c r="A33" s="6" t="str">
        <x:f>TRIM(D33)</x:f>
        <x:v>LK32</x:v>
      </x:c>
      <x:c r="B33" s="1" t="str">
        <x:v>Cảm biến độ ẩm V4</x:v>
      </x:c>
      <x:c r="C33" s="5" t="n">
        <x:v>58500</x:v>
      </x:c>
      <x:c r="D33" s="1" t="str">
        <x:v>LK32</x:v>
      </x:c>
    </x:row>
    <x:row r="34" ht="22" customHeight="1">
      <x:c r="A34" s="6" t="str">
        <x:f>TRIM(D34)</x:f>
        <x:v>LK33</x:v>
      </x:c>
      <x:c r="B34" s="6" t="str">
        <x:v>Module relay V4</x:v>
      </x:c>
      <x:c r="C34" s="7" t="n">
        <x:v>32500</x:v>
      </x:c>
      <x:c r="D34" s="1" t="str">
        <x:v>LK33</x:v>
      </x:c>
    </x:row>
    <x:row r="35" ht="22" customHeight="1">
      <x:c r="A35" s="6" t="str">
        <x:f>TRIM(D35)</x:f>
        <x:v>LK34</x:v>
      </x:c>
      <x:c r="B35" s="1" t="str">
        <x:v>Mạch nguồn V4</x:v>
      </x:c>
      <x:c r="C35" s="5" t="n">
        <x:v>75500</x:v>
      </x:c>
      <x:c r="D35" s="1" t="str">
        <x:v>LK34</x:v>
      </x:c>
    </x:row>
    <x:row r="36" ht="22" customHeight="1">
      <x:c r="A36" s="6" t="str">
        <x:f>TRIM(D36)</x:f>
        <x:v>LK35</x:v>
      </x:c>
      <x:c r="B36" s="6" t="str">
        <x:v>Động cơ servo V4</x:v>
      </x:c>
      <x:c r="C36" s="7" t="n">
        <x:v>88500</x:v>
      </x:c>
      <x:c r="D36" s="1" t="str">
        <x:v>LK35</x:v>
      </x:c>
    </x:row>
    <x:row r="37" ht="22" customHeight="1">
      <x:c r="A37" s="6" t="str">
        <x:f>TRIM(D37)</x:f>
        <x:v>LK36</x:v>
      </x:c>
      <x:c r="B37" s="1" t="str">
        <x:v>Màn hình LCD V4</x:v>
      </x:c>
      <x:c r="C37" s="5" t="n">
        <x:v>105500</x:v>
      </x:c>
      <x:c r="D37" s="1" t="str">
        <x:v>LK36</x:v>
      </x:c>
    </x:row>
    <x:row r="38" ht="22" customHeight="1">
      <x:c r="A38" s="6" t="str">
        <x:f>TRIM(D38)</x:f>
        <x:v>LK37</x:v>
      </x:c>
      <x:c r="B38" s="6" t="str">
        <x:v>Module WiFi V4</x:v>
      </x:c>
      <x:c r="C38" s="7" t="n">
        <x:v>135500</x:v>
      </x:c>
      <x:c r="D38" s="1" t="str">
        <x:v>LK37</x:v>
      </x:c>
    </x:row>
    <x:row r="39" ht="22" customHeight="1">
      <x:c r="A39" s="6" t="str">
        <x:f>TRIM(D39)</x:f>
        <x:v>LK38</x:v>
      </x:c>
      <x:c r="B39" s="1" t="str">
        <x:v>Cảm biến ánh sáng V4</x:v>
      </x:c>
      <x:c r="C39" s="5" t="n">
        <x:v>38500</x:v>
      </x:c>
      <x:c r="D39" s="1" t="str">
        <x:v>LK38</x:v>
      </x:c>
    </x:row>
    <x:row r="40" ht="22" customHeight="1">
      <x:c r="A40" s="6" t="str">
        <x:f>TRIM(D40)</x:f>
        <x:v>LK39</x:v>
      </x:c>
      <x:c r="B40" s="6" t="str">
        <x:v>Bơm mini V4</x:v>
      </x:c>
      <x:c r="C40" s="7" t="n">
        <x:v>125500</x:v>
      </x:c>
      <x:c r="D40" s="1" t="str">
        <x:v>LK39</x:v>
      </x:c>
    </x:row>
    <x:row r="41" ht="22" customHeight="1">
      <x:c r="A41" s="6" t="str">
        <x:f>TRIM(D41)</x:f>
        <x:v>LK40</x:v>
      </x:c>
      <x:c r="B41" s="1" t="str">
        <x:v>Dây kết nối V4</x:v>
      </x:c>
      <x:c r="C41" s="5" t="n">
        <x:v>28500</x:v>
      </x:c>
      <x:c r="D41" s="1" t="str">
        <x:v>LK40</x:v>
      </x:c>
    </x:row>
    <x:row r="42" ht="22" customHeight="1">
      <x:c r="A42" s="6" t="str">
        <x:f>TRIM(D42)</x:f>
        <x:v>LK41</x:v>
      </x:c>
      <x:c r="B42" s="6" t="str">
        <x:v>Cảm biến nhiệt độ V5</x:v>
      </x:c>
      <x:c r="C42" s="7" t="n">
        <x:v>49000</x:v>
      </x:c>
      <x:c r="D42" s="1" t="str">
        <x:v>LK41   </x:v>
      </x:c>
    </x:row>
    <x:row r="43" ht="22" customHeight="1">
      <x:c r="A43" s="6" t="str">
        <x:f>TRIM(D43)</x:f>
        <x:v>LK42</x:v>
      </x:c>
      <x:c r="B43" s="1" t="str">
        <x:v>Cảm biến độ ẩm V5</x:v>
      </x:c>
      <x:c r="C43" s="5" t="n">
        <x:v>62000</x:v>
      </x:c>
      <x:c r="D43" s="1" t="str">
        <x:v>LK42</x:v>
      </x:c>
    </x:row>
    <x:row r="44" ht="22" customHeight="1">
      <x:c r="A44" s="6" t="str">
        <x:f>TRIM(D44)</x:f>
        <x:v>LK43</x:v>
      </x:c>
      <x:c r="B44" s="6" t="str">
        <x:v>Module relay V5</x:v>
      </x:c>
      <x:c r="C44" s="7" t="n">
        <x:v>36000</x:v>
      </x:c>
      <x:c r="D44" s="1" t="str">
        <x:v>LK43</x:v>
      </x:c>
    </x:row>
    <x:row r="45" ht="22" customHeight="1">
      <x:c r="A45" s="6" t="str">
        <x:f>TRIM(D45)</x:f>
        <x:v>LK44</x:v>
      </x:c>
      <x:c r="B45" s="1" t="str">
        <x:v>Mạch nguồn V5</x:v>
      </x:c>
      <x:c r="C45" s="5" t="n">
        <x:v>79000</x:v>
      </x:c>
      <x:c r="D45" s="1" t="str">
        <x:v>LK44</x:v>
      </x:c>
    </x:row>
    <x:row r="46" ht="22" customHeight="1">
      <x:c r="A46" s="6" t="str">
        <x:f>TRIM(D46)</x:f>
        <x:v>LK45</x:v>
      </x:c>
      <x:c r="B46" s="6" t="str">
        <x:v>Động cơ servo V5</x:v>
      </x:c>
      <x:c r="C46" s="7" t="n">
        <x:v>92000</x:v>
      </x:c>
      <x:c r="D46" s="1" t="str">
        <x:v>LK45</x:v>
      </x:c>
    </x:row>
    <x:row r="47" ht="22" customHeight="1">
      <x:c r="A47" s="6" t="str">
        <x:f>TRIM(D47)</x:f>
        <x:v>LK46</x:v>
      </x:c>
      <x:c r="B47" s="1" t="str">
        <x:v>Màn hình LCD V5</x:v>
      </x:c>
      <x:c r="C47" s="5" t="n">
        <x:v>109000</x:v>
      </x:c>
      <x:c r="D47" s="1" t="str">
        <x:v>LK46</x:v>
      </x:c>
    </x:row>
    <x:row r="48" ht="22" customHeight="1">
      <x:c r="A48" s="6" t="str">
        <x:f>TRIM(D48)</x:f>
        <x:v>LK47</x:v>
      </x:c>
      <x:c r="B48" s="6" t="str">
        <x:v>Module WiFi V5</x:v>
      </x:c>
      <x:c r="C48" s="7" t="n">
        <x:v>139000</x:v>
      </x:c>
      <x:c r="D48" s="1" t="str">
        <x:v>LK47</x:v>
      </x:c>
    </x:row>
    <x:row r="49" ht="22" customHeight="1">
      <x:c r="A49" s="6" t="str">
        <x:f>TRIM(D49)</x:f>
        <x:v>LK48</x:v>
      </x:c>
      <x:c r="B49" s="1" t="str">
        <x:v>Cảm biến ánh sáng V5</x:v>
      </x:c>
      <x:c r="C49" s="5" t="n">
        <x:v>42000</x:v>
      </x:c>
      <x:c r="D49" s="1" t="str">
        <x:v>LK48</x:v>
      </x:c>
    </x:row>
    <x:row r="50" ht="22" customHeight="1">
      <x:c r="A50" s="6" t="str">
        <x:f>TRIM(D50)</x:f>
        <x:v>LK49</x:v>
      </x:c>
      <x:c r="B50" s="6" t="str">
        <x:v>Bơm mini V5</x:v>
      </x:c>
      <x:c r="C50" s="7" t="n">
        <x:v>129000</x:v>
      </x:c>
      <x:c r="D50" s="1" t="str">
        <x:v>LK49</x:v>
      </x:c>
    </x:row>
    <x:row r="51" ht="22" customHeight="1">
      <x:c r="A51" s="6" t="str">
        <x:f>TRIM(D51)</x:f>
        <x:v>LK50</x:v>
      </x:c>
      <x:c r="B51" s="1" t="str">
        <x:v>Dây kết nối V5</x:v>
      </x:c>
      <x:c r="C51" s="5" t="n">
        <x:v>32000</x:v>
      </x:c>
      <x:c r="D51" s="1" t="str">
        <x:v>LK50</x:v>
      </x:c>
    </x:row>
    <x:row r="52" ht="22" customHeight="1">
      <x:c r="A52" s="6" t="str">
        <x:f>TRIM(D52)</x:f>
        <x:v>LK51</x:v>
      </x:c>
      <x:c r="B52" s="6" t="str">
        <x:v>Cảm biến nhiệt độ V6</x:v>
      </x:c>
      <x:c r="C52" s="7" t="n">
        <x:v>52500</x:v>
      </x:c>
      <x:c r="D52" s="1" t="str">
        <x:v>LK51   </x:v>
      </x:c>
    </x:row>
    <x:row r="53" ht="22" customHeight="1">
      <x:c r="A53" s="6" t="str">
        <x:f>TRIM(D53)</x:f>
        <x:v>LK52</x:v>
      </x:c>
      <x:c r="B53" s="1" t="str">
        <x:v>Cảm biến độ ẩm V6</x:v>
      </x:c>
      <x:c r="C53" s="5" t="n">
        <x:v>65500</x:v>
      </x:c>
      <x:c r="D53" s="1" t="str">
        <x:v>LK52</x:v>
      </x:c>
    </x:row>
    <x:row r="54" ht="22" customHeight="1">
      <x:c r="A54" s="6" t="str">
        <x:f>TRIM(D54)</x:f>
        <x:v>LK53</x:v>
      </x:c>
      <x:c r="B54" s="6" t="str">
        <x:v>Module relay V6</x:v>
      </x:c>
      <x:c r="C54" s="7" t="n">
        <x:v>39500</x:v>
      </x:c>
      <x:c r="D54" s="1" t="str">
        <x:v>LK53</x:v>
      </x:c>
    </x:row>
    <x:row r="55" ht="22" customHeight="1">
      <x:c r="A55" s="6" t="str">
        <x:f>TRIM(D55)</x:f>
        <x:v>LK54</x:v>
      </x:c>
      <x:c r="B55" s="1" t="str">
        <x:v>Mạch nguồn V6</x:v>
      </x:c>
      <x:c r="C55" s="5" t="n">
        <x:v>82500</x:v>
      </x:c>
      <x:c r="D55" s="1" t="str">
        <x:v>LK54</x:v>
      </x:c>
    </x:row>
    <x:row r="56" ht="22" customHeight="1">
      <x:c r="A56" s="6" t="str">
        <x:f>TRIM(D56)</x:f>
        <x:v>LK55</x:v>
      </x:c>
      <x:c r="B56" s="6" t="str">
        <x:v>Động cơ servo V6</x:v>
      </x:c>
      <x:c r="C56" s="7" t="n">
        <x:v>95500</x:v>
      </x:c>
      <x:c r="D56" s="1" t="str">
        <x:v>LK55</x:v>
      </x:c>
    </x:row>
    <x:row r="57" ht="22" customHeight="1">
      <x:c r="A57" s="6" t="str">
        <x:f>TRIM(D57)</x:f>
        <x:v>LK56</x:v>
      </x:c>
      <x:c r="B57" s="1" t="str">
        <x:v>Màn hình LCD V6</x:v>
      </x:c>
      <x:c r="C57" s="5" t="n">
        <x:v>112500</x:v>
      </x:c>
      <x:c r="D57" s="1" t="str">
        <x:v>LK56</x:v>
      </x:c>
    </x:row>
    <x:row r="58" ht="22" customHeight="1">
      <x:c r="A58" s="6" t="str">
        <x:f>TRIM(D58)</x:f>
        <x:v>LK57</x:v>
      </x:c>
      <x:c r="B58" s="6" t="str">
        <x:v>Module WiFi V6</x:v>
      </x:c>
      <x:c r="C58" s="7" t="n">
        <x:v>142500</x:v>
      </x:c>
      <x:c r="D58" s="1" t="str">
        <x:v>LK57</x:v>
      </x:c>
    </x:row>
    <x:row r="59" ht="22" customHeight="1">
      <x:c r="A59" s="6" t="str">
        <x:f>TRIM(D59)</x:f>
        <x:v>LK58</x:v>
      </x:c>
      <x:c r="B59" s="1" t="str">
        <x:v>Cảm biến ánh sáng V6</x:v>
      </x:c>
      <x:c r="C59" s="5" t="n">
        <x:v>45500</x:v>
      </x:c>
      <x:c r="D59" s="1" t="str">
        <x:v>LK58</x:v>
      </x:c>
    </x:row>
    <x:row r="60" ht="22" customHeight="1">
      <x:c r="A60" s="6" t="str">
        <x:f>TRIM(D60)</x:f>
        <x:v>LK59</x:v>
      </x:c>
      <x:c r="B60" s="6" t="str">
        <x:v>Bơm mini V6</x:v>
      </x:c>
      <x:c r="C60" s="7" t="n">
        <x:v>132500</x:v>
      </x:c>
      <x:c r="D60" s="1" t="str">
        <x:v>LK59</x:v>
      </x:c>
    </x:row>
    <x:row r="61" ht="22" customHeight="1">
      <x:c r="A61" s="6" t="str">
        <x:f>TRIM(D61)</x:f>
        <x:v>LK60</x:v>
      </x:c>
      <x:c r="B61" s="1" t="str">
        <x:v>Dây kết nối V6</x:v>
      </x:c>
      <x:c r="C61" s="5" t="n">
        <x:v>35500</x:v>
      </x:c>
      <x:c r="D61" s="1" t="str">
        <x:v>LK60</x:v>
      </x:c>
    </x:row>
    <x:row r="62" ht="22" customHeight="1">
      <x:c r="A62" s="6" t="str">
        <x:f>TRIM(D62)</x:f>
        <x:v>LK61</x:v>
      </x:c>
      <x:c r="B62" s="6" t="str">
        <x:v>Cảm biến nhiệt độ V7</x:v>
      </x:c>
      <x:c r="C62" s="7" t="n">
        <x:v>56000</x:v>
      </x:c>
      <x:c r="D62" s="1" t="str">
        <x:v>LK61   </x:v>
      </x:c>
    </x:row>
    <x:row r="63" ht="22" customHeight="1">
      <x:c r="A63" s="6" t="str">
        <x:f>TRIM(D63)</x:f>
        <x:v>LK62</x:v>
      </x:c>
      <x:c r="B63" s="1" t="str">
        <x:v>Cảm biến độ ẩm V7</x:v>
      </x:c>
      <x:c r="C63" s="5" t="n">
        <x:v>69000</x:v>
      </x:c>
      <x:c r="D63" s="1" t="str">
        <x:v>LK62</x:v>
      </x:c>
    </x:row>
    <x:row r="64" ht="22" customHeight="1">
      <x:c r="A64" s="6" t="str">
        <x:f>TRIM(D64)</x:f>
        <x:v>LK63</x:v>
      </x:c>
      <x:c r="B64" s="6" t="str">
        <x:v>Module relay V7</x:v>
      </x:c>
      <x:c r="C64" s="7" t="n">
        <x:v>43000</x:v>
      </x:c>
      <x:c r="D64" s="1" t="str">
        <x:v>LK63</x:v>
      </x:c>
    </x:row>
    <x:row r="65" ht="22" customHeight="1">
      <x:c r="A65" s="6" t="str">
        <x:f>TRIM(D65)</x:f>
        <x:v>LK64</x:v>
      </x:c>
      <x:c r="B65" s="1" t="str">
        <x:v>Mạch nguồn V7</x:v>
      </x:c>
      <x:c r="C65" s="5" t="n">
        <x:v>86000</x:v>
      </x:c>
      <x:c r="D65" s="1" t="str">
        <x:v>LK64</x:v>
      </x:c>
    </x:row>
    <x:row r="66" ht="22" customHeight="1">
      <x:c r="A66" s="6" t="str">
        <x:f>TRIM(D66)</x:f>
        <x:v>LK65</x:v>
      </x:c>
      <x:c r="B66" s="6" t="str">
        <x:v>Động cơ servo V7</x:v>
      </x:c>
      <x:c r="C66" s="7" t="n">
        <x:v>99000</x:v>
      </x:c>
      <x:c r="D66" s="1" t="str">
        <x:v>LK65</x:v>
      </x:c>
    </x:row>
    <x:row r="67" ht="22" customHeight="1">
      <x:c r="A67" s="6" t="str">
        <x:f>TRIM(D67)</x:f>
        <x:v>LK66</x:v>
      </x:c>
      <x:c r="B67" s="1" t="str">
        <x:v>Màn hình LCD V7</x:v>
      </x:c>
      <x:c r="C67" s="5" t="n">
        <x:v>116000</x:v>
      </x:c>
      <x:c r="D67" s="1" t="str">
        <x:v>LK66</x:v>
      </x:c>
    </x:row>
    <x:row r="68" ht="22" customHeight="1">
      <x:c r="A68" s="6" t="str">
        <x:f>TRIM(D68)</x:f>
        <x:v>LK67</x:v>
      </x:c>
      <x:c r="B68" s="6" t="str">
        <x:v>Module WiFi V7</x:v>
      </x:c>
      <x:c r="C68" s="7" t="n">
        <x:v>146000</x:v>
      </x:c>
      <x:c r="D68" s="1" t="str">
        <x:v>LK67</x:v>
      </x:c>
    </x:row>
    <x:row r="69" ht="22" customHeight="1">
      <x:c r="A69" s="6" t="str">
        <x:f>TRIM(D69)</x:f>
        <x:v>LK68</x:v>
      </x:c>
      <x:c r="B69" s="1" t="str">
        <x:v>Cảm biến ánh sáng V7</x:v>
      </x:c>
      <x:c r="C69" s="5" t="n">
        <x:v>49000</x:v>
      </x:c>
      <x:c r="D69" s="1" t="str">
        <x:v>LK68</x:v>
      </x:c>
    </x:row>
    <x:row r="70" ht="22" customHeight="1">
      <x:c r="A70" s="6" t="str">
        <x:f>TRIM(D70)</x:f>
        <x:v>LK69</x:v>
      </x:c>
      <x:c r="B70" s="6" t="str">
        <x:v>Bơm mini V7</x:v>
      </x:c>
      <x:c r="C70" s="7" t="n">
        <x:v>136000</x:v>
      </x:c>
      <x:c r="D70" s="1" t="str">
        <x:v>LK69</x:v>
      </x:c>
    </x:row>
    <x:row r="71" ht="22" customHeight="1">
      <x:c r="A71" s="6" t="str">
        <x:f>TRIM(D71)</x:f>
        <x:v>LK70</x:v>
      </x:c>
      <x:c r="B71" s="1" t="str">
        <x:v>Dây kết nối V7</x:v>
      </x:c>
      <x:c r="C71" s="5" t="n">
        <x:v>39000</x:v>
      </x:c>
      <x:c r="D71" s="1" t="str">
        <x:v>LK70</x:v>
      </x:c>
    </x:row>
    <x:row r="72" ht="22" customHeight="1">
      <x:c r="A72" s="6" t="str">
        <x:f>TRIM(D72)</x:f>
        <x:v>LK71</x:v>
      </x:c>
      <x:c r="B72" s="6" t="str">
        <x:v>Cảm biến nhiệt độ V8</x:v>
      </x:c>
      <x:c r="C72" s="7" t="n">
        <x:v>59500</x:v>
      </x:c>
      <x:c r="D72" s="1" t="str">
        <x:v>LK71   </x:v>
      </x:c>
    </x:row>
    <x:row r="73" ht="22" customHeight="1">
      <x:c r="A73" s="6" t="str">
        <x:f>TRIM(D73)</x:f>
        <x:v>LK72</x:v>
      </x:c>
      <x:c r="B73" s="1" t="str">
        <x:v>Cảm biến độ ẩm V8</x:v>
      </x:c>
      <x:c r="C73" s="5" t="n">
        <x:v>72500</x:v>
      </x:c>
      <x:c r="D73" s="1" t="str">
        <x:v>LK72</x:v>
      </x:c>
    </x:row>
    <x:row r="74" ht="22" customHeight="1">
      <x:c r="A74" s="6" t="str">
        <x:f>TRIM(D74)</x:f>
        <x:v>LK73</x:v>
      </x:c>
      <x:c r="B74" s="6" t="str">
        <x:v>Module relay V8</x:v>
      </x:c>
      <x:c r="C74" s="7" t="n">
        <x:v>46500</x:v>
      </x:c>
      <x:c r="D74" s="1" t="str">
        <x:v>LK73</x:v>
      </x:c>
    </x:row>
    <x:row r="75" ht="22" customHeight="1">
      <x:c r="A75" s="6" t="str">
        <x:f>TRIM(D75)</x:f>
        <x:v>LK74</x:v>
      </x:c>
      <x:c r="B75" s="1" t="str">
        <x:v>Mạch nguồn V8</x:v>
      </x:c>
      <x:c r="C75" s="5" t="n">
        <x:v>89500</x:v>
      </x:c>
      <x:c r="D75" s="1" t="str">
        <x:v>LK74</x:v>
      </x:c>
    </x:row>
    <x:row r="76" ht="22" customHeight="1">
      <x:c r="A76" s="6" t="str">
        <x:f>TRIM(D76)</x:f>
        <x:v>LK75</x:v>
      </x:c>
      <x:c r="B76" s="6" t="str">
        <x:v>Động cơ servo V8</x:v>
      </x:c>
      <x:c r="C76" s="7" t="n">
        <x:v>102500</x:v>
      </x:c>
      <x:c r="D76" s="1" t="str">
        <x:v>LK75</x:v>
      </x:c>
    </x:row>
    <x:row r="77" ht="22" customHeight="1">
      <x:c r="A77" s="6" t="str">
        <x:f>TRIM(D77)</x:f>
        <x:v>LK76</x:v>
      </x:c>
      <x:c r="B77" s="1" t="str">
        <x:v>Màn hình LCD V8</x:v>
      </x:c>
      <x:c r="C77" s="5" t="n">
        <x:v>119500</x:v>
      </x:c>
      <x:c r="D77" s="1" t="str">
        <x:v>LK76</x:v>
      </x:c>
    </x:row>
    <x:row r="78" ht="22" customHeight="1">
      <x:c r="A78" s="6" t="str">
        <x:f>TRIM(D78)</x:f>
        <x:v>LK77</x:v>
      </x:c>
      <x:c r="B78" s="6" t="str">
        <x:v>Module WiFi V8</x:v>
      </x:c>
      <x:c r="C78" s="7" t="n">
        <x:v>149500</x:v>
      </x:c>
      <x:c r="D78" s="1" t="str">
        <x:v>LK77</x:v>
      </x:c>
    </x:row>
    <x:row r="79" ht="22" customHeight="1">
      <x:c r="A79" s="6" t="str">
        <x:f>TRIM(D79)</x:f>
        <x:v>LK78</x:v>
      </x:c>
      <x:c r="B79" s="1" t="str">
        <x:v>Cảm biến ánh sáng V8</x:v>
      </x:c>
      <x:c r="C79" s="5" t="n">
        <x:v>52500</x:v>
      </x:c>
      <x:c r="D79" s="1" t="str">
        <x:v>LK78</x:v>
      </x:c>
    </x:row>
    <x:row r="80" ht="22" customHeight="1">
      <x:c r="A80" s="6" t="str">
        <x:f>TRIM(D80)</x:f>
        <x:v>LK79</x:v>
      </x:c>
      <x:c r="B80" s="6" t="str">
        <x:v>Bơm mini V8</x:v>
      </x:c>
      <x:c r="C80" s="7" t="n">
        <x:v>139500</x:v>
      </x:c>
      <x:c r="D80" s="1" t="str">
        <x:v>LK79</x:v>
      </x:c>
    </x:row>
    <x:row r="81" ht="22" customHeight="1">
      <x:c r="A81" s="6" t="str">
        <x:f>TRIM(D81)</x:f>
        <x:v>LK80</x:v>
      </x:c>
      <x:c r="B81" s="1" t="str">
        <x:v>Dây kết nối V8</x:v>
      </x:c>
      <x:c r="C81" s="5" t="n">
        <x:v>42500</x:v>
      </x:c>
      <x:c r="D81" s="1" t="str">
        <x:v>LK80</x:v>
      </x:c>
    </x:row>
    <x:row r="82" ht="22" customHeight="1">
      <x:c r="A82" s="6" t="str">
        <x:f>TRIM(D82)</x:f>
        <x:v>LK81</x:v>
      </x:c>
      <x:c r="B82" s="6" t="str">
        <x:v>Cảm biến nhiệt độ V9</x:v>
      </x:c>
      <x:c r="C82" s="7" t="n">
        <x:v>63000</x:v>
      </x:c>
      <x:c r="D82" s="1" t="str">
        <x:v>LK81   </x:v>
      </x:c>
    </x:row>
    <x:row r="83" ht="22" customHeight="1">
      <x:c r="A83" s="6" t="str">
        <x:f>TRIM(D83)</x:f>
        <x:v>LK82</x:v>
      </x:c>
      <x:c r="B83" s="1" t="str">
        <x:v>Cảm biến độ ẩm V9</x:v>
      </x:c>
      <x:c r="C83" s="5" t="n">
        <x:v>76000</x:v>
      </x:c>
      <x:c r="D83" s="1" t="str">
        <x:v>LK82</x:v>
      </x:c>
    </x:row>
    <x:row r="84" ht="22" customHeight="1">
      <x:c r="A84" s="6" t="str">
        <x:f>TRIM(D84)</x:f>
        <x:v>LK83</x:v>
      </x:c>
      <x:c r="B84" s="6" t="str">
        <x:v>Module relay V9</x:v>
      </x:c>
      <x:c r="C84" s="7" t="n">
        <x:v>50000</x:v>
      </x:c>
      <x:c r="D84" s="1" t="str">
        <x:v>LK83</x:v>
      </x:c>
    </x:row>
    <x:row r="85" ht="22" customHeight="1">
      <x:c r="A85" s="6" t="str">
        <x:f>TRIM(D85)</x:f>
        <x:v>LK84</x:v>
      </x:c>
      <x:c r="B85" s="1" t="str">
        <x:v>Mạch nguồn V9</x:v>
      </x:c>
      <x:c r="C85" s="5" t="n">
        <x:v>93000</x:v>
      </x:c>
      <x:c r="D85" s="1" t="str">
        <x:v>LK84</x:v>
      </x:c>
    </x:row>
    <x:row r="86" ht="22" customHeight="1">
      <x:c r="A86" s="6" t="str">
        <x:f>TRIM(D86)</x:f>
        <x:v>LK85</x:v>
      </x:c>
      <x:c r="B86" s="6" t="str">
        <x:v>Động cơ servo V9</x:v>
      </x:c>
      <x:c r="C86" s="7" t="n">
        <x:v>106000</x:v>
      </x:c>
      <x:c r="D86" s="1" t="str">
        <x:v>LK85</x:v>
      </x:c>
    </x:row>
    <x:row r="87" ht="22" customHeight="1">
      <x:c r="A87" s="6" t="str">
        <x:f>TRIM(D87)</x:f>
        <x:v>LK86</x:v>
      </x:c>
      <x:c r="B87" s="1" t="str">
        <x:v>Màn hình LCD V9</x:v>
      </x:c>
      <x:c r="C87" s="5" t="n">
        <x:v>123000</x:v>
      </x:c>
      <x:c r="D87" s="1" t="str">
        <x:v>LK86</x:v>
      </x:c>
    </x:row>
    <x:row r="88" ht="22" customHeight="1">
      <x:c r="A88" s="6" t="str">
        <x:f>TRIM(D88)</x:f>
        <x:v>LK87</x:v>
      </x:c>
      <x:c r="B88" s="6" t="str">
        <x:v>Module WiFi V9</x:v>
      </x:c>
      <x:c r="C88" s="7" t="n">
        <x:v>153000</x:v>
      </x:c>
      <x:c r="D88" s="1" t="str">
        <x:v>LK87</x:v>
      </x:c>
    </x:row>
    <x:row r="89" ht="22" customHeight="1">
      <x:c r="A89" s="6" t="str">
        <x:f>TRIM(D89)</x:f>
        <x:v>LK88</x:v>
      </x:c>
      <x:c r="B89" s="1" t="str">
        <x:v>Cảm biến ánh sáng V9</x:v>
      </x:c>
      <x:c r="C89" s="5" t="n">
        <x:v>56000</x:v>
      </x:c>
      <x:c r="D89" s="1" t="str">
        <x:v>LK88</x:v>
      </x:c>
    </x:row>
    <x:row r="90" ht="22" customHeight="1">
      <x:c r="A90" s="6" t="str">
        <x:f>TRIM(D90)</x:f>
        <x:v>LK89</x:v>
      </x:c>
      <x:c r="B90" s="6" t="str">
        <x:v>Bơm mini V9</x:v>
      </x:c>
      <x:c r="C90" s="7" t="n">
        <x:v>143000</x:v>
      </x:c>
      <x:c r="D90" s="1" t="str">
        <x:v>LK89</x:v>
      </x:c>
    </x:row>
    <x:row r="91" ht="22" customHeight="1">
      <x:c r="A91" s="6" t="str">
        <x:f>TRIM(D91)</x:f>
        <x:v>LK90</x:v>
      </x:c>
      <x:c r="B91" s="1" t="str">
        <x:v>Dây kết nối V9</x:v>
      </x:c>
      <x:c r="C91" s="5" t="n">
        <x:v>46000</x:v>
      </x:c>
      <x:c r="D91" s="1" t="str">
        <x:v>LK90</x:v>
      </x:c>
    </x:row>
    <x:row r="92" ht="22" customHeight="1">
      <x:c r="A92" s="6" t="str">
        <x:f>TRIM(D92)</x:f>
        <x:v>LK91</x:v>
      </x:c>
      <x:c r="B92" s="6" t="str">
        <x:v>Cảm biến nhiệt độ V10</x:v>
      </x:c>
      <x:c r="C92" s="7" t="n">
        <x:v>66500</x:v>
      </x:c>
      <x:c r="D92" s="1" t="str">
        <x:v>LK91   </x:v>
      </x:c>
    </x:row>
    <x:row r="93" ht="22" customHeight="1">
      <x:c r="A93" s="6" t="str">
        <x:f>TRIM(D93)</x:f>
        <x:v>LK92</x:v>
      </x:c>
      <x:c r="B93" s="1" t="str">
        <x:v>Cảm biến độ ẩm V10</x:v>
      </x:c>
      <x:c r="C93" s="5" t="n">
        <x:v>79500</x:v>
      </x:c>
      <x:c r="D93" s="1" t="str">
        <x:v>LK92</x:v>
      </x:c>
    </x:row>
    <x:row r="94" ht="22" customHeight="1">
      <x:c r="A94" s="6" t="str">
        <x:f>TRIM(D94)</x:f>
        <x:v>LK93</x:v>
      </x:c>
      <x:c r="B94" s="6" t="str">
        <x:v>Module relay V10</x:v>
      </x:c>
      <x:c r="C94" s="7" t="n">
        <x:v>53500</x:v>
      </x:c>
      <x:c r="D94" s="1" t="str">
        <x:v>LK93</x:v>
      </x:c>
    </x:row>
    <x:row r="95" ht="22" customHeight="1">
      <x:c r="A95" s="6" t="str">
        <x:f>TRIM(D95)</x:f>
        <x:v>LK94</x:v>
      </x:c>
      <x:c r="B95" s="1" t="str">
        <x:v>Mạch nguồn V10</x:v>
      </x:c>
      <x:c r="C95" s="5" t="n">
        <x:v>96500</x:v>
      </x:c>
      <x:c r="D95" s="1" t="str">
        <x:v>LK94</x:v>
      </x:c>
    </x:row>
    <x:row r="96" ht="22" customHeight="1">
      <x:c r="A96" s="6" t="str">
        <x:f>TRIM(D96)</x:f>
        <x:v>LK95</x:v>
      </x:c>
      <x:c r="B96" s="6" t="str">
        <x:v>Động cơ servo V10</x:v>
      </x:c>
      <x:c r="C96" s="7" t="n">
        <x:v>109500</x:v>
      </x:c>
      <x:c r="D96" s="1" t="str">
        <x:v>LK95</x:v>
      </x:c>
    </x:row>
    <x:row r="97" ht="22" customHeight="1">
      <x:c r="A97" s="6" t="str">
        <x:f>TRIM(D97)</x:f>
        <x:v>LK96</x:v>
      </x:c>
      <x:c r="B97" s="1" t="str">
        <x:v>Màn hình LCD V10</x:v>
      </x:c>
      <x:c r="C97" s="5" t="n">
        <x:v>126500</x:v>
      </x:c>
      <x:c r="D97" s="1" t="str">
        <x:v>LK96</x:v>
      </x:c>
    </x:row>
    <x:row r="98" ht="22" customHeight="1">
      <x:c r="A98" s="6" t="str">
        <x:f>TRIM(D98)</x:f>
        <x:v>LK97</x:v>
      </x:c>
      <x:c r="B98" s="6" t="str">
        <x:v>Module WiFi V10</x:v>
      </x:c>
      <x:c r="C98" s="7" t="n">
        <x:v>156500</x:v>
      </x:c>
      <x:c r="D98" s="1" t="str">
        <x:v>LK97</x:v>
      </x:c>
    </x:row>
    <x:row r="99" ht="22" customHeight="1">
      <x:c r="A99" s="6" t="str">
        <x:f>TRIM(D99)</x:f>
        <x:v>LK98</x:v>
      </x:c>
      <x:c r="B99" s="1" t="str">
        <x:v>Cảm biến ánh sáng V10</x:v>
      </x:c>
      <x:c r="C99" s="5" t="n">
        <x:v>59500</x:v>
      </x:c>
      <x:c r="D99" s="1" t="str">
        <x:v>LK98</x:v>
      </x:c>
    </x:row>
    <x:row r="100" ht="22" customHeight="1">
      <x:c r="A100" s="6" t="str">
        <x:f>TRIM(D100)</x:f>
        <x:v>LK99</x:v>
      </x:c>
      <x:c r="B100" s="6" t="str">
        <x:v>Bơm mini V10</x:v>
      </x:c>
      <x:c r="C100" s="7" t="n">
        <x:v>146500</x:v>
      </x:c>
      <x:c r="D100" s="1" t="str">
        <x:v>LK99</x:v>
      </x:c>
    </x:row>
    <x:row r="101" ht="22" customHeight="1">
      <x:c r="A101" s="6" t="str">
        <x:f>TRIM(D101)</x:f>
        <x:v>LK100</x:v>
      </x:c>
      <x:c r="B101" s="1" t="str">
        <x:v>Dây kết nối V10</x:v>
      </x:c>
      <x:c r="C101" s="5" t="n">
        <x:v>49500</x:v>
      </x:c>
      <x:c r="D101" s="1" t="str">
        <x:v>LK100</x:v>
      </x:c>
    </x:row>
  </x:sheetData>
  <x:pageMargins left="0.7" right="0.7" top="0.75" bottom="0.75" header="0.3" footer="0.3"/>
</x:worksheet>
</file>